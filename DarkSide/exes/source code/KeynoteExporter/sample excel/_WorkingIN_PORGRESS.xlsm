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zhang\github\EnneadTab-OS\DarkSide\exes\source code\KeynoteExporter\sample excel\"/>
    </mc:Choice>
  </mc:AlternateContent>
  <xr:revisionPtr revIDLastSave="0" documentId="13_ncr:1_{27B73DCE-F392-4B5C-AE40-6CAE3332FCED}" xr6:coauthVersionLast="47" xr6:coauthVersionMax="47" xr10:uidLastSave="{00000000-0000-0000-0000-000000000000}"/>
  <bookViews>
    <workbookView xWindow="-110" yWindow="-110" windowWidth="38620" windowHeight="21100" tabRatio="452" activeTab="1" xr2:uid="{27A88F03-D045-4A6B-949A-20A586A136A2}"/>
  </bookViews>
  <sheets>
    <sheet name="Help" sheetId="6" r:id="rId1"/>
    <sheet name="Database" sheetId="2" r:id="rId2"/>
    <sheet name="(NOT IN USE)Interior Index" sheetId="3" r:id="rId3"/>
    <sheet name="(NOT IN USE)Exterior Index" sheetId="4" r:id="rId4"/>
    <sheet name="(NOT IN USE)Settings" sheetId="1" r:id="rId5"/>
    <sheet name="Keynote Export" sheetId="5" state="hidden" r:id="rId6"/>
  </sheets>
  <definedNames>
    <definedName name="_xlnm._FilterDatabase" localSheetId="1" hidden="1">Database!$A$2:$A$205</definedName>
    <definedName name="_xlcn.WorksheetConnection_210722_Dev2.xlsmDatabase" hidden="1">Database[]</definedName>
    <definedName name="_xlnm.Print_Area" localSheetId="1">Database!$B$55:$K$81</definedName>
  </definedNames>
  <calcPr calcId="191029"/>
  <pivotCaches>
    <pivotCache cacheId="0" r:id="rId7"/>
    <pivotCache cacheId="1" r:id="rId8"/>
    <pivotCache cacheId="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base" name="Database" connection="WorksheetConnection_210722_Dev2.xlsm!Databa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" i="2" l="1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3" i="2"/>
  <c r="AH4" i="2"/>
  <c r="AI4" i="2" s="1"/>
  <c r="AH5" i="2"/>
  <c r="AJ5" i="2" s="1"/>
  <c r="AK5" i="2" s="1"/>
  <c r="AH6" i="2"/>
  <c r="AI6" i="2" s="1"/>
  <c r="AH7" i="2"/>
  <c r="AI7" i="2" s="1"/>
  <c r="AH8" i="2"/>
  <c r="AI8" i="2" s="1"/>
  <c r="AH9" i="2"/>
  <c r="AI9" i="2" s="1"/>
  <c r="AH10" i="2"/>
  <c r="AJ10" i="2" s="1"/>
  <c r="AK10" i="2" s="1"/>
  <c r="AH11" i="2"/>
  <c r="AI11" i="2" s="1"/>
  <c r="AH12" i="2"/>
  <c r="AI12" i="2" s="1"/>
  <c r="AH13" i="2"/>
  <c r="AI13" i="2" s="1"/>
  <c r="AH14" i="2"/>
  <c r="AI14" i="2" s="1"/>
  <c r="AH15" i="2"/>
  <c r="AI15" i="2" s="1"/>
  <c r="AH16" i="2"/>
  <c r="AI16" i="2" s="1"/>
  <c r="AH17" i="2"/>
  <c r="AJ17" i="2" s="1"/>
  <c r="AK17" i="2" s="1"/>
  <c r="AH18" i="2"/>
  <c r="AI18" i="2" s="1"/>
  <c r="AH19" i="2"/>
  <c r="AI19" i="2" s="1"/>
  <c r="AH20" i="2"/>
  <c r="AI20" i="2" s="1"/>
  <c r="AH21" i="2"/>
  <c r="AI21" i="2" s="1"/>
  <c r="AH22" i="2"/>
  <c r="AI22" i="2" s="1"/>
  <c r="AH23" i="2"/>
  <c r="AI23" i="2" s="1"/>
  <c r="AH24" i="2"/>
  <c r="AI24" i="2" s="1"/>
  <c r="AH25" i="2"/>
  <c r="AI25" i="2" s="1"/>
  <c r="AH26" i="2"/>
  <c r="AI26" i="2" s="1"/>
  <c r="AH27" i="2"/>
  <c r="AI27" i="2" s="1"/>
  <c r="AH28" i="2"/>
  <c r="AI28" i="2" s="1"/>
  <c r="AH29" i="2"/>
  <c r="AJ29" i="2" s="1"/>
  <c r="AK29" i="2" s="1"/>
  <c r="AH30" i="2"/>
  <c r="AI30" i="2" s="1"/>
  <c r="AH31" i="2"/>
  <c r="AI31" i="2" s="1"/>
  <c r="AH32" i="2"/>
  <c r="AI32" i="2" s="1"/>
  <c r="AH33" i="2"/>
  <c r="AI33" i="2" s="1"/>
  <c r="AH34" i="2"/>
  <c r="AJ34" i="2" s="1"/>
  <c r="AK34" i="2" s="1"/>
  <c r="AH35" i="2"/>
  <c r="AI35" i="2" s="1"/>
  <c r="AH36" i="2"/>
  <c r="AI36" i="2" s="1"/>
  <c r="AH37" i="2"/>
  <c r="AI37" i="2" s="1"/>
  <c r="AH38" i="2"/>
  <c r="AI38" i="2" s="1"/>
  <c r="AH39" i="2"/>
  <c r="AI39" i="2" s="1"/>
  <c r="AH40" i="2"/>
  <c r="AI40" i="2" s="1"/>
  <c r="AH41" i="2"/>
  <c r="AJ41" i="2" s="1"/>
  <c r="AK41" i="2" s="1"/>
  <c r="AH42" i="2"/>
  <c r="AI42" i="2" s="1"/>
  <c r="AH43" i="2"/>
  <c r="AI43" i="2" s="1"/>
  <c r="AH44" i="2"/>
  <c r="AI44" i="2" s="1"/>
  <c r="AH45" i="2"/>
  <c r="AI45" i="2" s="1"/>
  <c r="AH46" i="2"/>
  <c r="AI46" i="2" s="1"/>
  <c r="AH47" i="2"/>
  <c r="AI47" i="2" s="1"/>
  <c r="AH48" i="2"/>
  <c r="AI48" i="2" s="1"/>
  <c r="AH49" i="2"/>
  <c r="AI49" i="2" s="1"/>
  <c r="AH50" i="2"/>
  <c r="AI50" i="2" s="1"/>
  <c r="AH51" i="2"/>
  <c r="AI51" i="2" s="1"/>
  <c r="AH52" i="2"/>
  <c r="AI52" i="2" s="1"/>
  <c r="AH53" i="2"/>
  <c r="AJ53" i="2" s="1"/>
  <c r="AK53" i="2" s="1"/>
  <c r="AH54" i="2"/>
  <c r="AI54" i="2" s="1"/>
  <c r="AH55" i="2"/>
  <c r="AI55" i="2" s="1"/>
  <c r="AH56" i="2"/>
  <c r="AI56" i="2" s="1"/>
  <c r="AH57" i="2"/>
  <c r="AI57" i="2" s="1"/>
  <c r="AH58" i="2"/>
  <c r="AI58" i="2" s="1"/>
  <c r="AH59" i="2"/>
  <c r="AI59" i="2" s="1"/>
  <c r="AH60" i="2"/>
  <c r="AI60" i="2" s="1"/>
  <c r="AH61" i="2"/>
  <c r="AI61" i="2" s="1"/>
  <c r="AH62" i="2"/>
  <c r="AI62" i="2" s="1"/>
  <c r="AH63" i="2"/>
  <c r="AI63" i="2" s="1"/>
  <c r="AH64" i="2"/>
  <c r="AI64" i="2" s="1"/>
  <c r="AH65" i="2"/>
  <c r="AJ65" i="2" s="1"/>
  <c r="AK65" i="2" s="1"/>
  <c r="AH66" i="2"/>
  <c r="AI66" i="2" s="1"/>
  <c r="AH67" i="2"/>
  <c r="AI67" i="2" s="1"/>
  <c r="AH68" i="2"/>
  <c r="AI68" i="2" s="1"/>
  <c r="AH69" i="2"/>
  <c r="AI69" i="2" s="1"/>
  <c r="AH70" i="2"/>
  <c r="AI70" i="2" s="1"/>
  <c r="AH71" i="2"/>
  <c r="AI71" i="2" s="1"/>
  <c r="AH72" i="2"/>
  <c r="AI72" i="2" s="1"/>
  <c r="AH73" i="2"/>
  <c r="AI73" i="2" s="1"/>
  <c r="AH74" i="2"/>
  <c r="AI74" i="2" s="1"/>
  <c r="AH75" i="2"/>
  <c r="AI75" i="2" s="1"/>
  <c r="AH76" i="2"/>
  <c r="AI76" i="2" s="1"/>
  <c r="AH77" i="2"/>
  <c r="AJ77" i="2" s="1"/>
  <c r="AK77" i="2" s="1"/>
  <c r="AH78" i="2"/>
  <c r="AI78" i="2" s="1"/>
  <c r="AH79" i="2"/>
  <c r="AI79" i="2" s="1"/>
  <c r="AH80" i="2"/>
  <c r="AI80" i="2" s="1"/>
  <c r="AH81" i="2"/>
  <c r="AI81" i="2" s="1"/>
  <c r="AH82" i="2"/>
  <c r="AI82" i="2" s="1"/>
  <c r="AH83" i="2"/>
  <c r="AI83" i="2" s="1"/>
  <c r="AH84" i="2"/>
  <c r="AI84" i="2" s="1"/>
  <c r="AH85" i="2"/>
  <c r="AI85" i="2" s="1"/>
  <c r="AH86" i="2"/>
  <c r="AI86" i="2" s="1"/>
  <c r="AH87" i="2"/>
  <c r="AI87" i="2" s="1"/>
  <c r="AH88" i="2"/>
  <c r="AI88" i="2" s="1"/>
  <c r="AH89" i="2"/>
  <c r="AJ89" i="2" s="1"/>
  <c r="AK89" i="2" s="1"/>
  <c r="AH90" i="2"/>
  <c r="AI90" i="2" s="1"/>
  <c r="AH91" i="2"/>
  <c r="AI91" i="2" s="1"/>
  <c r="AH92" i="2"/>
  <c r="AI92" i="2" s="1"/>
  <c r="AH93" i="2"/>
  <c r="AI93" i="2" s="1"/>
  <c r="AH94" i="2"/>
  <c r="AI94" i="2" s="1"/>
  <c r="AH95" i="2"/>
  <c r="AI95" i="2" s="1"/>
  <c r="AH96" i="2"/>
  <c r="AI96" i="2" s="1"/>
  <c r="AH97" i="2"/>
  <c r="AI97" i="2" s="1"/>
  <c r="AH98" i="2"/>
  <c r="AI98" i="2" s="1"/>
  <c r="AH99" i="2"/>
  <c r="AI99" i="2" s="1"/>
  <c r="AH100" i="2"/>
  <c r="AI100" i="2" s="1"/>
  <c r="AH101" i="2"/>
  <c r="AJ101" i="2" s="1"/>
  <c r="AK101" i="2" s="1"/>
  <c r="AH102" i="2"/>
  <c r="AI102" i="2" s="1"/>
  <c r="AH103" i="2"/>
  <c r="AI103" i="2" s="1"/>
  <c r="AH104" i="2"/>
  <c r="AI104" i="2" s="1"/>
  <c r="AH105" i="2"/>
  <c r="AI105" i="2" s="1"/>
  <c r="AH106" i="2"/>
  <c r="AI106" i="2" s="1"/>
  <c r="AH107" i="2"/>
  <c r="AI107" i="2" s="1"/>
  <c r="AH108" i="2"/>
  <c r="AI108" i="2" s="1"/>
  <c r="AH109" i="2"/>
  <c r="AI109" i="2" s="1"/>
  <c r="AH110" i="2"/>
  <c r="AI110" i="2" s="1"/>
  <c r="AH111" i="2"/>
  <c r="AI111" i="2" s="1"/>
  <c r="AH112" i="2"/>
  <c r="AI112" i="2" s="1"/>
  <c r="AH113" i="2"/>
  <c r="AJ113" i="2" s="1"/>
  <c r="AK113" i="2" s="1"/>
  <c r="AH114" i="2"/>
  <c r="AI114" i="2" s="1"/>
  <c r="AH115" i="2"/>
  <c r="AI115" i="2" s="1"/>
  <c r="AH116" i="2"/>
  <c r="AI116" i="2" s="1"/>
  <c r="AH117" i="2"/>
  <c r="AI117" i="2" s="1"/>
  <c r="AH118" i="2"/>
  <c r="AI118" i="2" s="1"/>
  <c r="AH119" i="2"/>
  <c r="AI119" i="2" s="1"/>
  <c r="AH120" i="2"/>
  <c r="AI120" i="2" s="1"/>
  <c r="AH121" i="2"/>
  <c r="AI121" i="2" s="1"/>
  <c r="AH122" i="2"/>
  <c r="AI122" i="2" s="1"/>
  <c r="AH123" i="2"/>
  <c r="AI123" i="2" s="1"/>
  <c r="AH124" i="2"/>
  <c r="AI124" i="2" s="1"/>
  <c r="AH125" i="2"/>
  <c r="AJ125" i="2" s="1"/>
  <c r="AK125" i="2" s="1"/>
  <c r="AH126" i="2"/>
  <c r="AI126" i="2" s="1"/>
  <c r="AH127" i="2"/>
  <c r="AI127" i="2" s="1"/>
  <c r="AH128" i="2"/>
  <c r="AI128" i="2" s="1"/>
  <c r="AH129" i="2"/>
  <c r="AI129" i="2" s="1"/>
  <c r="AH130" i="2"/>
  <c r="AI130" i="2" s="1"/>
  <c r="AH131" i="2"/>
  <c r="AI131" i="2" s="1"/>
  <c r="AH132" i="2"/>
  <c r="AI132" i="2" s="1"/>
  <c r="AH133" i="2"/>
  <c r="AI133" i="2" s="1"/>
  <c r="AH134" i="2"/>
  <c r="AI134" i="2" s="1"/>
  <c r="AH135" i="2"/>
  <c r="AI135" i="2" s="1"/>
  <c r="AH136" i="2"/>
  <c r="AI136" i="2" s="1"/>
  <c r="AH137" i="2"/>
  <c r="AI137" i="2" s="1"/>
  <c r="AH138" i="2"/>
  <c r="AI138" i="2" s="1"/>
  <c r="AH139" i="2"/>
  <c r="AI139" i="2" s="1"/>
  <c r="AH140" i="2"/>
  <c r="AI140" i="2" s="1"/>
  <c r="AH141" i="2"/>
  <c r="AI141" i="2" s="1"/>
  <c r="AH142" i="2"/>
  <c r="AI142" i="2" s="1"/>
  <c r="AH143" i="2"/>
  <c r="AI143" i="2" s="1"/>
  <c r="AH144" i="2"/>
  <c r="AI144" i="2" s="1"/>
  <c r="AH145" i="2"/>
  <c r="AI145" i="2" s="1"/>
  <c r="AH146" i="2"/>
  <c r="AI146" i="2" s="1"/>
  <c r="AH147" i="2"/>
  <c r="AI147" i="2" s="1"/>
  <c r="AH148" i="2"/>
  <c r="AI148" i="2" s="1"/>
  <c r="AH149" i="2"/>
  <c r="AJ149" i="2" s="1"/>
  <c r="AK149" i="2" s="1"/>
  <c r="AH150" i="2"/>
  <c r="AI150" i="2" s="1"/>
  <c r="AH151" i="2"/>
  <c r="AI151" i="2" s="1"/>
  <c r="AH152" i="2"/>
  <c r="AI152" i="2" s="1"/>
  <c r="AH153" i="2"/>
  <c r="AI153" i="2" s="1"/>
  <c r="AH154" i="2"/>
  <c r="AI154" i="2" s="1"/>
  <c r="AH155" i="2"/>
  <c r="AI155" i="2" s="1"/>
  <c r="AH156" i="2"/>
  <c r="AI156" i="2" s="1"/>
  <c r="AH157" i="2"/>
  <c r="AI157" i="2" s="1"/>
  <c r="AH158" i="2"/>
  <c r="AI158" i="2" s="1"/>
  <c r="AH159" i="2"/>
  <c r="AI159" i="2" s="1"/>
  <c r="AH160" i="2"/>
  <c r="AI160" i="2" s="1"/>
  <c r="AH161" i="2"/>
  <c r="AJ161" i="2" s="1"/>
  <c r="AK161" i="2" s="1"/>
  <c r="AH162" i="2"/>
  <c r="AI162" i="2" s="1"/>
  <c r="AH163" i="2"/>
  <c r="AI163" i="2" s="1"/>
  <c r="AH164" i="2"/>
  <c r="AI164" i="2" s="1"/>
  <c r="AH165" i="2"/>
  <c r="AI165" i="2" s="1"/>
  <c r="AH166" i="2"/>
  <c r="AI166" i="2" s="1"/>
  <c r="AH167" i="2"/>
  <c r="AI167" i="2" s="1"/>
  <c r="AH168" i="2"/>
  <c r="AI168" i="2" s="1"/>
  <c r="AH169" i="2"/>
  <c r="AI169" i="2" s="1"/>
  <c r="AH170" i="2"/>
  <c r="AI170" i="2" s="1"/>
  <c r="AH171" i="2"/>
  <c r="AI171" i="2" s="1"/>
  <c r="AH172" i="2"/>
  <c r="AI172" i="2" s="1"/>
  <c r="AH173" i="2"/>
  <c r="AI173" i="2" s="1"/>
  <c r="AH174" i="2"/>
  <c r="AI174" i="2" s="1"/>
  <c r="AH175" i="2"/>
  <c r="AI175" i="2" s="1"/>
  <c r="AH176" i="2"/>
  <c r="AI176" i="2" s="1"/>
  <c r="AH177" i="2"/>
  <c r="AI177" i="2" s="1"/>
  <c r="AH178" i="2"/>
  <c r="AI178" i="2" s="1"/>
  <c r="AH179" i="2"/>
  <c r="AI179" i="2" s="1"/>
  <c r="AH180" i="2"/>
  <c r="AI180" i="2" s="1"/>
  <c r="AH181" i="2"/>
  <c r="AI181" i="2" s="1"/>
  <c r="AH182" i="2"/>
  <c r="AI182" i="2" s="1"/>
  <c r="AH183" i="2"/>
  <c r="AI183" i="2" s="1"/>
  <c r="AH184" i="2"/>
  <c r="AI184" i="2" s="1"/>
  <c r="AH185" i="2"/>
  <c r="AI185" i="2" s="1"/>
  <c r="AH186" i="2"/>
  <c r="AI186" i="2" s="1"/>
  <c r="AH187" i="2"/>
  <c r="AI187" i="2" s="1"/>
  <c r="AH188" i="2"/>
  <c r="AI188" i="2" s="1"/>
  <c r="AH189" i="2"/>
  <c r="AI189" i="2" s="1"/>
  <c r="AH190" i="2"/>
  <c r="AI190" i="2" s="1"/>
  <c r="AH191" i="2"/>
  <c r="AI191" i="2" s="1"/>
  <c r="AH192" i="2"/>
  <c r="AI192" i="2" s="1"/>
  <c r="AH193" i="2"/>
  <c r="AI193" i="2" s="1"/>
  <c r="AH194" i="2"/>
  <c r="AI194" i="2" s="1"/>
  <c r="AH195" i="2"/>
  <c r="AI195" i="2" s="1"/>
  <c r="AH196" i="2"/>
  <c r="AI196" i="2" s="1"/>
  <c r="AH197" i="2"/>
  <c r="AI197" i="2" s="1"/>
  <c r="AH198" i="2"/>
  <c r="AI198" i="2" s="1"/>
  <c r="AH199" i="2"/>
  <c r="AI199" i="2" s="1"/>
  <c r="AH200" i="2"/>
  <c r="AI200" i="2" s="1"/>
  <c r="AH201" i="2"/>
  <c r="AI201" i="2" s="1"/>
  <c r="AH202" i="2"/>
  <c r="AI202" i="2" s="1"/>
  <c r="AH203" i="2"/>
  <c r="AI203" i="2" s="1"/>
  <c r="AH204" i="2"/>
  <c r="AI204" i="2" s="1"/>
  <c r="AH205" i="2"/>
  <c r="AI205" i="2" s="1"/>
  <c r="AH3" i="2"/>
  <c r="AI3" i="2" s="1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3" i="2"/>
  <c r="AI17" i="2" l="1"/>
  <c r="AI34" i="2"/>
  <c r="AJ84" i="2"/>
  <c r="AK84" i="2" s="1"/>
  <c r="AJ60" i="2"/>
  <c r="AK60" i="2" s="1"/>
  <c r="AJ48" i="2"/>
  <c r="AK48" i="2" s="1"/>
  <c r="AJ24" i="2"/>
  <c r="AK24" i="2" s="1"/>
  <c r="AJ7" i="2"/>
  <c r="AK7" i="2" s="1"/>
  <c r="AJ12" i="2"/>
  <c r="AK12" i="2" s="1"/>
  <c r="AI89" i="2"/>
  <c r="AI5" i="2"/>
  <c r="AJ72" i="2"/>
  <c r="AK72" i="2" s="1"/>
  <c r="AJ36" i="2"/>
  <c r="AK36" i="2" s="1"/>
  <c r="AJ19" i="2"/>
  <c r="AK19" i="2" s="1"/>
  <c r="AI125" i="2"/>
  <c r="AI10" i="2"/>
  <c r="AJ195" i="2"/>
  <c r="AK195" i="2" s="1"/>
  <c r="AJ183" i="2"/>
  <c r="AK183" i="2" s="1"/>
  <c r="AJ171" i="2"/>
  <c r="AK171" i="2" s="1"/>
  <c r="AJ159" i="2"/>
  <c r="AK159" i="2" s="1"/>
  <c r="AJ147" i="2"/>
  <c r="AK147" i="2" s="1"/>
  <c r="AJ135" i="2"/>
  <c r="AK135" i="2" s="1"/>
  <c r="AJ123" i="2"/>
  <c r="AK123" i="2" s="1"/>
  <c r="AJ111" i="2"/>
  <c r="AK111" i="2" s="1"/>
  <c r="AJ99" i="2"/>
  <c r="AK99" i="2" s="1"/>
  <c r="AJ87" i="2"/>
  <c r="AK87" i="2" s="1"/>
  <c r="AJ75" i="2"/>
  <c r="AK75" i="2" s="1"/>
  <c r="AJ63" i="2"/>
  <c r="AK63" i="2" s="1"/>
  <c r="AJ51" i="2"/>
  <c r="AK51" i="2" s="1"/>
  <c r="AJ39" i="2"/>
  <c r="AK39" i="2" s="1"/>
  <c r="AJ27" i="2"/>
  <c r="AK27" i="2" s="1"/>
  <c r="AJ15" i="2"/>
  <c r="AK15" i="2" s="1"/>
  <c r="AI113" i="2"/>
  <c r="AJ194" i="2"/>
  <c r="AK194" i="2" s="1"/>
  <c r="AJ182" i="2"/>
  <c r="AK182" i="2" s="1"/>
  <c r="AJ170" i="2"/>
  <c r="AK170" i="2" s="1"/>
  <c r="AJ158" i="2"/>
  <c r="AK158" i="2" s="1"/>
  <c r="AJ146" i="2"/>
  <c r="AK146" i="2" s="1"/>
  <c r="AJ134" i="2"/>
  <c r="AK134" i="2" s="1"/>
  <c r="AJ122" i="2"/>
  <c r="AK122" i="2" s="1"/>
  <c r="AJ110" i="2"/>
  <c r="AK110" i="2" s="1"/>
  <c r="AJ98" i="2"/>
  <c r="AK98" i="2" s="1"/>
  <c r="AJ86" i="2"/>
  <c r="AK86" i="2" s="1"/>
  <c r="AJ74" i="2"/>
  <c r="AK74" i="2" s="1"/>
  <c r="AJ62" i="2"/>
  <c r="AK62" i="2" s="1"/>
  <c r="AJ50" i="2"/>
  <c r="AK50" i="2" s="1"/>
  <c r="AJ38" i="2"/>
  <c r="AK38" i="2" s="1"/>
  <c r="AJ26" i="2"/>
  <c r="AK26" i="2" s="1"/>
  <c r="AJ14" i="2"/>
  <c r="AK14" i="2" s="1"/>
  <c r="AI101" i="2"/>
  <c r="AJ205" i="2"/>
  <c r="AK205" i="2" s="1"/>
  <c r="AJ193" i="2"/>
  <c r="AK193" i="2" s="1"/>
  <c r="AJ181" i="2"/>
  <c r="AK181" i="2" s="1"/>
  <c r="AJ169" i="2"/>
  <c r="AK169" i="2" s="1"/>
  <c r="AJ157" i="2"/>
  <c r="AK157" i="2" s="1"/>
  <c r="AJ145" i="2"/>
  <c r="AK145" i="2" s="1"/>
  <c r="AJ133" i="2"/>
  <c r="AK133" i="2" s="1"/>
  <c r="AJ121" i="2"/>
  <c r="AK121" i="2" s="1"/>
  <c r="AJ109" i="2"/>
  <c r="AK109" i="2" s="1"/>
  <c r="AJ97" i="2"/>
  <c r="AK97" i="2" s="1"/>
  <c r="AJ85" i="2"/>
  <c r="AK85" i="2" s="1"/>
  <c r="AJ73" i="2"/>
  <c r="AK73" i="2" s="1"/>
  <c r="AJ61" i="2"/>
  <c r="AK61" i="2" s="1"/>
  <c r="AJ49" i="2"/>
  <c r="AK49" i="2" s="1"/>
  <c r="AJ37" i="2"/>
  <c r="AK37" i="2" s="1"/>
  <c r="AJ25" i="2"/>
  <c r="AK25" i="2" s="1"/>
  <c r="AJ13" i="2"/>
  <c r="AK13" i="2" s="1"/>
  <c r="AJ204" i="2"/>
  <c r="AK204" i="2" s="1"/>
  <c r="AJ192" i="2"/>
  <c r="AK192" i="2" s="1"/>
  <c r="AJ180" i="2"/>
  <c r="AK180" i="2" s="1"/>
  <c r="AJ168" i="2"/>
  <c r="AK168" i="2" s="1"/>
  <c r="AJ156" i="2"/>
  <c r="AK156" i="2" s="1"/>
  <c r="AJ144" i="2"/>
  <c r="AK144" i="2" s="1"/>
  <c r="AJ132" i="2"/>
  <c r="AK132" i="2" s="1"/>
  <c r="AJ120" i="2"/>
  <c r="AK120" i="2" s="1"/>
  <c r="AJ108" i="2"/>
  <c r="AK108" i="2" s="1"/>
  <c r="AJ96" i="2"/>
  <c r="AK96" i="2" s="1"/>
  <c r="AI77" i="2"/>
  <c r="AJ203" i="2"/>
  <c r="AK203" i="2" s="1"/>
  <c r="AJ191" i="2"/>
  <c r="AK191" i="2" s="1"/>
  <c r="AJ179" i="2"/>
  <c r="AK179" i="2" s="1"/>
  <c r="AJ167" i="2"/>
  <c r="AK167" i="2" s="1"/>
  <c r="AJ155" i="2"/>
  <c r="AK155" i="2" s="1"/>
  <c r="AJ143" i="2"/>
  <c r="AK143" i="2" s="1"/>
  <c r="AJ131" i="2"/>
  <c r="AK131" i="2" s="1"/>
  <c r="AJ119" i="2"/>
  <c r="AK119" i="2" s="1"/>
  <c r="AJ107" i="2"/>
  <c r="AK107" i="2" s="1"/>
  <c r="AJ95" i="2"/>
  <c r="AK95" i="2" s="1"/>
  <c r="AJ83" i="2"/>
  <c r="AK83" i="2" s="1"/>
  <c r="AJ71" i="2"/>
  <c r="AK71" i="2" s="1"/>
  <c r="AJ59" i="2"/>
  <c r="AK59" i="2" s="1"/>
  <c r="AJ47" i="2"/>
  <c r="AK47" i="2" s="1"/>
  <c r="AJ35" i="2"/>
  <c r="AK35" i="2" s="1"/>
  <c r="AJ23" i="2"/>
  <c r="AK23" i="2" s="1"/>
  <c r="AJ11" i="2"/>
  <c r="AK11" i="2" s="1"/>
  <c r="AI65" i="2"/>
  <c r="AJ202" i="2"/>
  <c r="AK202" i="2" s="1"/>
  <c r="AJ190" i="2"/>
  <c r="AK190" i="2" s="1"/>
  <c r="AJ178" i="2"/>
  <c r="AK178" i="2" s="1"/>
  <c r="AJ166" i="2"/>
  <c r="AK166" i="2" s="1"/>
  <c r="AJ154" i="2"/>
  <c r="AK154" i="2" s="1"/>
  <c r="AJ142" i="2"/>
  <c r="AK142" i="2" s="1"/>
  <c r="AJ130" i="2"/>
  <c r="AK130" i="2" s="1"/>
  <c r="AJ118" i="2"/>
  <c r="AK118" i="2" s="1"/>
  <c r="AJ106" i="2"/>
  <c r="AK106" i="2" s="1"/>
  <c r="AJ94" i="2"/>
  <c r="AK94" i="2" s="1"/>
  <c r="AJ82" i="2"/>
  <c r="AK82" i="2" s="1"/>
  <c r="AJ70" i="2"/>
  <c r="AK70" i="2" s="1"/>
  <c r="AJ58" i="2"/>
  <c r="AK58" i="2" s="1"/>
  <c r="AJ46" i="2"/>
  <c r="AK46" i="2" s="1"/>
  <c r="AJ22" i="2"/>
  <c r="AK22" i="2" s="1"/>
  <c r="AI53" i="2"/>
  <c r="AJ201" i="2"/>
  <c r="AK201" i="2" s="1"/>
  <c r="AJ189" i="2"/>
  <c r="AK189" i="2" s="1"/>
  <c r="AJ177" i="2"/>
  <c r="AK177" i="2" s="1"/>
  <c r="AJ165" i="2"/>
  <c r="AK165" i="2" s="1"/>
  <c r="AJ153" i="2"/>
  <c r="AK153" i="2" s="1"/>
  <c r="AJ141" i="2"/>
  <c r="AK141" i="2" s="1"/>
  <c r="AJ129" i="2"/>
  <c r="AK129" i="2" s="1"/>
  <c r="AJ117" i="2"/>
  <c r="AK117" i="2" s="1"/>
  <c r="AJ105" i="2"/>
  <c r="AK105" i="2" s="1"/>
  <c r="AJ93" i="2"/>
  <c r="AK93" i="2" s="1"/>
  <c r="AJ81" i="2"/>
  <c r="AK81" i="2" s="1"/>
  <c r="AJ69" i="2"/>
  <c r="AK69" i="2" s="1"/>
  <c r="AJ57" i="2"/>
  <c r="AK57" i="2" s="1"/>
  <c r="AJ45" i="2"/>
  <c r="AK45" i="2" s="1"/>
  <c r="AJ33" i="2"/>
  <c r="AK33" i="2" s="1"/>
  <c r="AJ21" i="2"/>
  <c r="AK21" i="2" s="1"/>
  <c r="AJ9" i="2"/>
  <c r="AK9" i="2" s="1"/>
  <c r="AI41" i="2"/>
  <c r="AJ200" i="2"/>
  <c r="AK200" i="2" s="1"/>
  <c r="AJ188" i="2"/>
  <c r="AK188" i="2" s="1"/>
  <c r="AJ176" i="2"/>
  <c r="AK176" i="2" s="1"/>
  <c r="AJ164" i="2"/>
  <c r="AK164" i="2" s="1"/>
  <c r="AJ152" i="2"/>
  <c r="AK152" i="2" s="1"/>
  <c r="AJ140" i="2"/>
  <c r="AK140" i="2" s="1"/>
  <c r="AJ128" i="2"/>
  <c r="AK128" i="2" s="1"/>
  <c r="AJ116" i="2"/>
  <c r="AK116" i="2" s="1"/>
  <c r="AJ104" i="2"/>
  <c r="AK104" i="2" s="1"/>
  <c r="AJ92" i="2"/>
  <c r="AK92" i="2" s="1"/>
  <c r="AJ80" i="2"/>
  <c r="AK80" i="2" s="1"/>
  <c r="AJ68" i="2"/>
  <c r="AK68" i="2" s="1"/>
  <c r="AJ56" i="2"/>
  <c r="AK56" i="2" s="1"/>
  <c r="AJ44" i="2"/>
  <c r="AK44" i="2" s="1"/>
  <c r="AJ32" i="2"/>
  <c r="AK32" i="2" s="1"/>
  <c r="AJ20" i="2"/>
  <c r="AK20" i="2" s="1"/>
  <c r="AJ8" i="2"/>
  <c r="AK8" i="2" s="1"/>
  <c r="AJ199" i="2"/>
  <c r="AK199" i="2" s="1"/>
  <c r="AJ187" i="2"/>
  <c r="AK187" i="2" s="1"/>
  <c r="AJ175" i="2"/>
  <c r="AK175" i="2" s="1"/>
  <c r="AJ163" i="2"/>
  <c r="AK163" i="2" s="1"/>
  <c r="AJ151" i="2"/>
  <c r="AK151" i="2" s="1"/>
  <c r="AJ139" i="2"/>
  <c r="AK139" i="2" s="1"/>
  <c r="AJ127" i="2"/>
  <c r="AK127" i="2" s="1"/>
  <c r="AJ115" i="2"/>
  <c r="AK115" i="2" s="1"/>
  <c r="AJ103" i="2"/>
  <c r="AK103" i="2" s="1"/>
  <c r="AJ91" i="2"/>
  <c r="AK91" i="2" s="1"/>
  <c r="AJ79" i="2"/>
  <c r="AK79" i="2" s="1"/>
  <c r="AJ67" i="2"/>
  <c r="AK67" i="2" s="1"/>
  <c r="AJ55" i="2"/>
  <c r="AK55" i="2" s="1"/>
  <c r="AJ43" i="2"/>
  <c r="AK43" i="2" s="1"/>
  <c r="AJ31" i="2"/>
  <c r="AK31" i="2" s="1"/>
  <c r="AI161" i="2"/>
  <c r="AI29" i="2"/>
  <c r="AJ198" i="2"/>
  <c r="AK198" i="2" s="1"/>
  <c r="AJ186" i="2"/>
  <c r="AK186" i="2" s="1"/>
  <c r="AJ174" i="2"/>
  <c r="AK174" i="2" s="1"/>
  <c r="AJ162" i="2"/>
  <c r="AK162" i="2" s="1"/>
  <c r="AJ150" i="2"/>
  <c r="AK150" i="2" s="1"/>
  <c r="AJ138" i="2"/>
  <c r="AK138" i="2" s="1"/>
  <c r="AJ126" i="2"/>
  <c r="AK126" i="2" s="1"/>
  <c r="AJ114" i="2"/>
  <c r="AK114" i="2" s="1"/>
  <c r="AJ102" i="2"/>
  <c r="AK102" i="2" s="1"/>
  <c r="AJ90" i="2"/>
  <c r="AK90" i="2" s="1"/>
  <c r="AJ78" i="2"/>
  <c r="AK78" i="2" s="1"/>
  <c r="AJ66" i="2"/>
  <c r="AK66" i="2" s="1"/>
  <c r="AJ54" i="2"/>
  <c r="AK54" i="2" s="1"/>
  <c r="AJ42" i="2"/>
  <c r="AK42" i="2" s="1"/>
  <c r="AJ30" i="2"/>
  <c r="AK30" i="2" s="1"/>
  <c r="AJ18" i="2"/>
  <c r="AK18" i="2" s="1"/>
  <c r="AJ6" i="2"/>
  <c r="AK6" i="2" s="1"/>
  <c r="AI149" i="2"/>
  <c r="AJ197" i="2"/>
  <c r="AK197" i="2" s="1"/>
  <c r="AJ185" i="2"/>
  <c r="AK185" i="2" s="1"/>
  <c r="AJ173" i="2"/>
  <c r="AK173" i="2" s="1"/>
  <c r="AJ137" i="2"/>
  <c r="AK137" i="2" s="1"/>
  <c r="AJ196" i="2"/>
  <c r="AK196" i="2" s="1"/>
  <c r="AJ184" i="2"/>
  <c r="AK184" i="2" s="1"/>
  <c r="AJ172" i="2"/>
  <c r="AK172" i="2" s="1"/>
  <c r="AJ160" i="2"/>
  <c r="AK160" i="2" s="1"/>
  <c r="AJ148" i="2"/>
  <c r="AK148" i="2" s="1"/>
  <c r="AJ136" i="2"/>
  <c r="AK136" i="2" s="1"/>
  <c r="AJ124" i="2"/>
  <c r="AK124" i="2" s="1"/>
  <c r="AJ112" i="2"/>
  <c r="AK112" i="2" s="1"/>
  <c r="AJ100" i="2"/>
  <c r="AK100" i="2" s="1"/>
  <c r="AJ88" i="2"/>
  <c r="AK88" i="2" s="1"/>
  <c r="AJ76" i="2"/>
  <c r="AK76" i="2" s="1"/>
  <c r="AJ64" i="2"/>
  <c r="AK64" i="2" s="1"/>
  <c r="AJ52" i="2"/>
  <c r="AK52" i="2" s="1"/>
  <c r="AJ40" i="2"/>
  <c r="AK40" i="2" s="1"/>
  <c r="AJ28" i="2"/>
  <c r="AK28" i="2" s="1"/>
  <c r="AJ16" i="2"/>
  <c r="AK16" i="2" s="1"/>
  <c r="AJ4" i="2"/>
  <c r="AK4" i="2" s="1"/>
  <c r="AJ3" i="2"/>
  <c r="AK3" i="2" s="1"/>
  <c r="D23" i="1"/>
  <c r="D2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40B5A-A454-4C6F-A26B-F884E48489A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FC92766-63BF-4C99-9C08-73F8C0A58BE1}" name="WorksheetConnection_210722_Dev2.xlsm!Database" type="102" refreshedVersion="8" minRefreshableVersion="5">
    <extLst>
      <ext xmlns:x15="http://schemas.microsoft.com/office/spreadsheetml/2010/11/main" uri="{DE250136-89BD-433C-8126-D09CA5730AF9}">
        <x15:connection id="Database" autoDelete="1">
          <x15:rangePr sourceName="_xlcn.WorksheetConnection_210722_Dev2.xlsmDatabase"/>
        </x15:connection>
      </ext>
    </extLst>
  </connection>
</connections>
</file>

<file path=xl/sharedStrings.xml><?xml version="1.0" encoding="utf-8"?>
<sst xmlns="http://schemas.openxmlformats.org/spreadsheetml/2006/main" count="2005" uniqueCount="585">
  <si>
    <t>INTERIOR INDEX</t>
  </si>
  <si>
    <t>EXTERIOR INDEX</t>
  </si>
  <si>
    <t>FORMAT</t>
  </si>
  <si>
    <t>DIVISION #</t>
  </si>
  <si>
    <t>DIVISION NAME</t>
  </si>
  <si>
    <t>SECTION #</t>
  </si>
  <si>
    <t>SECTION NAME</t>
  </si>
  <si>
    <t>KEYNOTE #</t>
  </si>
  <si>
    <t>KEYNOTE DESCRIPTION</t>
  </si>
  <si>
    <t>BASE</t>
  </si>
  <si>
    <t>INT. WALL</t>
  </si>
  <si>
    <t>CEILING</t>
  </si>
  <si>
    <t>FLOOR</t>
  </si>
  <si>
    <t>MILLWORK</t>
  </si>
  <si>
    <t>INT. OTHER</t>
  </si>
  <si>
    <t>ROOF</t>
  </si>
  <si>
    <t>EXT. WALL</t>
  </si>
  <si>
    <t>FENESTRATION</t>
  </si>
  <si>
    <t>EXT. OTHER</t>
  </si>
  <si>
    <t>SOURCE</t>
  </si>
  <si>
    <t>PRODUCT</t>
  </si>
  <si>
    <t>CAT. NO.</t>
  </si>
  <si>
    <t>COLOR</t>
  </si>
  <si>
    <t>FINISH</t>
  </si>
  <si>
    <t>SIZE</t>
  </si>
  <si>
    <t>CONTACT</t>
  </si>
  <si>
    <t>REMARKS</t>
  </si>
  <si>
    <t>HELPER1</t>
  </si>
  <si>
    <t>KEYSORT1</t>
  </si>
  <si>
    <t>KEYSORT2</t>
  </si>
  <si>
    <t>KEYSORT3</t>
  </si>
  <si>
    <t>TABLESORT</t>
  </si>
  <si>
    <t>KEYTIER1</t>
  </si>
  <si>
    <t>KEYTIER1_DESC</t>
  </si>
  <si>
    <t>KEYTIER2</t>
  </si>
  <si>
    <t>KEYTIER2_DESC</t>
  </si>
  <si>
    <t>MASTERSPEC</t>
  </si>
  <si>
    <t>DIVISION 03 - CONCRETE</t>
  </si>
  <si>
    <t>g</t>
  </si>
  <si>
    <t>CNC-50</t>
  </si>
  <si>
    <t>n</t>
  </si>
  <si>
    <t>CNC-51</t>
  </si>
  <si>
    <t>PCC-50</t>
  </si>
  <si>
    <t>GFC-50</t>
  </si>
  <si>
    <t>DIVISION 04 - MASONRY</t>
  </si>
  <si>
    <t>BR-50</t>
  </si>
  <si>
    <t>CMU-50</t>
  </si>
  <si>
    <t>ST-50</t>
  </si>
  <si>
    <t>CST-50</t>
  </si>
  <si>
    <t>DIVISION 05 - METALS</t>
  </si>
  <si>
    <t>MF-50</t>
  </si>
  <si>
    <t>RLG-50</t>
  </si>
  <si>
    <t>GRT-50</t>
  </si>
  <si>
    <t>MTL-50</t>
  </si>
  <si>
    <t>RLG-51</t>
  </si>
  <si>
    <t>RLG-52</t>
  </si>
  <si>
    <t>DIVISION 06 - WOOD, PLASTICS, AND COMPOSITES</t>
  </si>
  <si>
    <t>DIVISION 07 - THERMAL AND MOISTURE PROTECTION</t>
  </si>
  <si>
    <t>MP-50</t>
  </si>
  <si>
    <t>TC-50</t>
  </si>
  <si>
    <t>RFG-50</t>
  </si>
  <si>
    <t>RFG-51</t>
  </si>
  <si>
    <t>EJ-50</t>
  </si>
  <si>
    <t>DIVISION 08 - OPENINGS</t>
  </si>
  <si>
    <t>CW-50</t>
  </si>
  <si>
    <t>GL-50</t>
  </si>
  <si>
    <t>LVR-50</t>
  </si>
  <si>
    <t>DIVISION 09 - FINISHES</t>
  </si>
  <si>
    <t>STC-50</t>
  </si>
  <si>
    <t>DIVISION 10 - SPECIALTIES</t>
  </si>
  <si>
    <t>DIVISION 12 - FURNISHINGS</t>
  </si>
  <si>
    <t>NOTES</t>
  </si>
  <si>
    <t>ARCH NOTES</t>
  </si>
  <si>
    <t>BY CATEGORY</t>
  </si>
  <si>
    <t>CASEWORK/MILLWORK</t>
  </si>
  <si>
    <t>101</t>
  </si>
  <si>
    <t>102</t>
  </si>
  <si>
    <t>103</t>
  </si>
  <si>
    <t>CURTAINWALL</t>
  </si>
  <si>
    <t>201</t>
  </si>
  <si>
    <t>202</t>
  </si>
  <si>
    <t>203</t>
  </si>
  <si>
    <t>DETAIL ITEMS</t>
  </si>
  <si>
    <t>301</t>
  </si>
  <si>
    <t>302</t>
  </si>
  <si>
    <t>303</t>
  </si>
  <si>
    <t>DOORS</t>
  </si>
  <si>
    <t>401</t>
  </si>
  <si>
    <t>402</t>
  </si>
  <si>
    <t>403</t>
  </si>
  <si>
    <t>ELEVATORS</t>
  </si>
  <si>
    <t>501</t>
  </si>
  <si>
    <t>502</t>
  </si>
  <si>
    <t>503</t>
  </si>
  <si>
    <t>EQUIPMENT</t>
  </si>
  <si>
    <t>FLOORS</t>
  </si>
  <si>
    <t>703</t>
  </si>
  <si>
    <t>FURNITURE</t>
  </si>
  <si>
    <t>GENERAL ANNOTATIONS</t>
  </si>
  <si>
    <t>901</t>
  </si>
  <si>
    <t>ALIGN</t>
  </si>
  <si>
    <t>902</t>
  </si>
  <si>
    <t>ALIGN WITH FACE OF WALL BELOW</t>
  </si>
  <si>
    <t>903</t>
  </si>
  <si>
    <t>OPEN TO BELOW</t>
  </si>
  <si>
    <t>904</t>
  </si>
  <si>
    <t>OPEN TO ABOVE</t>
  </si>
  <si>
    <t>905</t>
  </si>
  <si>
    <t>OUTLINE OF FLOOR ABOVE, SHOWN DASHED</t>
  </si>
  <si>
    <t>906</t>
  </si>
  <si>
    <t>OUTLINE OF SOFFIT ABOVE, SHOWN DASHED</t>
  </si>
  <si>
    <t>907</t>
  </si>
  <si>
    <t>EDGE OF EXTERIOR ENVELOPE ABOVE</t>
  </si>
  <si>
    <t>908</t>
  </si>
  <si>
    <t>EDGE OF SURFACE BELOW</t>
  </si>
  <si>
    <t>909</t>
  </si>
  <si>
    <t>EDGE OF CANOPY ABOVE</t>
  </si>
  <si>
    <t>910</t>
  </si>
  <si>
    <t>EDGE OF FOUNDATION BELOW</t>
  </si>
  <si>
    <t>911</t>
  </si>
  <si>
    <t>EDGE OF BRIDGE ABOVE</t>
  </si>
  <si>
    <t>912</t>
  </si>
  <si>
    <t>EDGE OF SURFACE ABOVE</t>
  </si>
  <si>
    <t>913</t>
  </si>
  <si>
    <t>EDGE OF SHAFT OPENING BELOW</t>
  </si>
  <si>
    <t>914</t>
  </si>
  <si>
    <t>FINISH TO MATCH ADJACENT WALL</t>
  </si>
  <si>
    <t>915</t>
  </si>
  <si>
    <t>ACCESSIBLE ROUTE</t>
  </si>
  <si>
    <t>916</t>
  </si>
  <si>
    <t>AREAWAY ABOVE</t>
  </si>
  <si>
    <t>917</t>
  </si>
  <si>
    <t>SLOPE TO DRAIN</t>
  </si>
  <si>
    <t>918</t>
  </si>
  <si>
    <t>OMITTED THIS AREA FOR CLARITY</t>
  </si>
  <si>
    <t>919</t>
  </si>
  <si>
    <t xml:space="preserve">ADD  LAYER TYPE 'X' GYPSUM BOARD TO EACH SIDE FOR UL #419 1-HR FIRE RATING </t>
  </si>
  <si>
    <t>RAMPS</t>
  </si>
  <si>
    <t>1101</t>
  </si>
  <si>
    <t>1102</t>
  </si>
  <si>
    <t>1103</t>
  </si>
  <si>
    <t>ROOFS</t>
  </si>
  <si>
    <t>1201</t>
  </si>
  <si>
    <t>1202</t>
  </si>
  <si>
    <t>1203</t>
  </si>
  <si>
    <t>SITE</t>
  </si>
  <si>
    <t>1301</t>
  </si>
  <si>
    <t>1302</t>
  </si>
  <si>
    <t>1303</t>
  </si>
  <si>
    <t>STAIRS</t>
  </si>
  <si>
    <t>1401</t>
  </si>
  <si>
    <t>1402</t>
  </si>
  <si>
    <t>1403</t>
  </si>
  <si>
    <t>TOILET ACCESSORIES</t>
  </si>
  <si>
    <t>1501</t>
  </si>
  <si>
    <t>1502</t>
  </si>
  <si>
    <t>1503</t>
  </si>
  <si>
    <t>WALLS</t>
  </si>
  <si>
    <t>1601</t>
  </si>
  <si>
    <t>1602</t>
  </si>
  <si>
    <t>1603</t>
  </si>
  <si>
    <t>WINDOWS</t>
  </si>
  <si>
    <t>1701</t>
  </si>
  <si>
    <t>1702</t>
  </si>
  <si>
    <t>1703</t>
  </si>
  <si>
    <t>SYSTEM NOTES</t>
  </si>
  <si>
    <t>AV</t>
  </si>
  <si>
    <t>5101</t>
  </si>
  <si>
    <t>5102</t>
  </si>
  <si>
    <t>5103</t>
  </si>
  <si>
    <t>COMM</t>
  </si>
  <si>
    <t>5201</t>
  </si>
  <si>
    <t>5202</t>
  </si>
  <si>
    <t>5203</t>
  </si>
  <si>
    <t>ELECTRICAL</t>
  </si>
  <si>
    <t>5301</t>
  </si>
  <si>
    <t>5302</t>
  </si>
  <si>
    <t>5303</t>
  </si>
  <si>
    <t>FIRE PROTECTION</t>
  </si>
  <si>
    <t>5401</t>
  </si>
  <si>
    <t>5402</t>
  </si>
  <si>
    <t>5403</t>
  </si>
  <si>
    <t>LAB</t>
  </si>
  <si>
    <t>5501</t>
  </si>
  <si>
    <t>5502</t>
  </si>
  <si>
    <t>5503</t>
  </si>
  <si>
    <t>LIGHTING</t>
  </si>
  <si>
    <t>5601</t>
  </si>
  <si>
    <t>5602</t>
  </si>
  <si>
    <t>5603</t>
  </si>
  <si>
    <t>MECHANICAL</t>
  </si>
  <si>
    <t>5701</t>
  </si>
  <si>
    <t>5702</t>
  </si>
  <si>
    <t>5703</t>
  </si>
  <si>
    <t>PLUMBING</t>
  </si>
  <si>
    <t>5704</t>
  </si>
  <si>
    <t>5705</t>
  </si>
  <si>
    <t>5706</t>
  </si>
  <si>
    <t>STRUCTURAL</t>
  </si>
  <si>
    <t>7101</t>
  </si>
  <si>
    <t>7102</t>
  </si>
  <si>
    <t>7103</t>
  </si>
  <si>
    <t>UNIFORMAT</t>
  </si>
  <si>
    <t>B</t>
  </si>
  <si>
    <t>SHELL</t>
  </si>
  <si>
    <t>B20</t>
  </si>
  <si>
    <t>Exterior Vertical Enclosures</t>
  </si>
  <si>
    <t>B2010.20</t>
  </si>
  <si>
    <t>Exterior Wall Construction</t>
  </si>
  <si>
    <t>B2020.30</t>
  </si>
  <si>
    <t>Exterior Window Wall</t>
  </si>
  <si>
    <t>C</t>
  </si>
  <si>
    <t>INTERIORS</t>
  </si>
  <si>
    <t>C10</t>
  </si>
  <si>
    <t>Interior Construction</t>
  </si>
  <si>
    <t>C1010.10</t>
  </si>
  <si>
    <t>Interior Fixed Partitions</t>
  </si>
  <si>
    <t>KEYNOTE ID</t>
  </si>
  <si>
    <t>BASIS OF DESIGN</t>
  </si>
  <si>
    <t>CAT.NO.</t>
  </si>
  <si>
    <t>SPEC SECTION</t>
  </si>
  <si>
    <t>Material Indices: Surface Categories</t>
  </si>
  <si>
    <t>Order</t>
  </si>
  <si>
    <t>Interior</t>
  </si>
  <si>
    <t>Exterior</t>
  </si>
  <si>
    <t>WALL</t>
  </si>
  <si>
    <t>OTHER</t>
  </si>
  <si>
    <t>For Instructions on how to use this tool, please see EI Page: https://ei.ennead.com/toolbox/BIMManual_01/02.16.3_Keynoting.aspx</t>
  </si>
  <si>
    <t>EXTERIOR</t>
  </si>
  <si>
    <t>INTERIOR</t>
  </si>
  <si>
    <t>REP_KEYTIER1</t>
  </si>
  <si>
    <t>REP_KEYTIER1DESC</t>
  </si>
  <si>
    <t>EXT</t>
  </si>
  <si>
    <t>INT</t>
  </si>
  <si>
    <t>REP_KEYTIER2DESC</t>
  </si>
  <si>
    <t>601</t>
  </si>
  <si>
    <t>602</t>
  </si>
  <si>
    <t>603</t>
  </si>
  <si>
    <t>701</t>
  </si>
  <si>
    <t>702</t>
  </si>
  <si>
    <t>801</t>
  </si>
  <si>
    <t>802</t>
  </si>
  <si>
    <t>REP_KEYNOTEDESC</t>
  </si>
  <si>
    <t>ADD  LAYER TYPE 'X' GYPSUM BOARD TO EACH SIDE FOR UL #419 1-HR FIRE RATING</t>
  </si>
  <si>
    <t>REP_KEYTIER2</t>
  </si>
  <si>
    <t>These are the default categories. For modifications, please contact Applied Computing</t>
  </si>
  <si>
    <t>Settings For Interior and Exterior Index</t>
  </si>
  <si>
    <t>Font:</t>
  </si>
  <si>
    <t>Header Text Size:</t>
  </si>
  <si>
    <t>Header Bold:</t>
  </si>
  <si>
    <t>Body Text Size:</t>
  </si>
  <si>
    <t>Arial Narrow</t>
  </si>
  <si>
    <t>DO NOT MODIFY</t>
  </si>
  <si>
    <t>Important Things to Note:</t>
  </si>
  <si>
    <t>Do not edit the column headers on the Database tab, this may break the Indices.</t>
  </si>
  <si>
    <t>All Keynote #'s must be unique</t>
  </si>
  <si>
    <t>SOFFIT</t>
  </si>
  <si>
    <t>PAVING</t>
  </si>
  <si>
    <t>Minimum Row Height</t>
  </si>
  <si>
    <r>
      <t xml:space="preserve">Columns B-H on all rows of Database must be filled out
The table automatically highlights the </t>
    </r>
    <r>
      <rPr>
        <b/>
        <sz val="11"/>
        <color theme="5"/>
        <rFont val="Calibri"/>
        <family val="2"/>
        <scheme val="minor"/>
      </rPr>
      <t>first entry of each Division as Orange</t>
    </r>
    <r>
      <rPr>
        <sz val="11"/>
        <color theme="1"/>
        <rFont val="Calibri"/>
        <family val="2"/>
        <scheme val="minor"/>
      </rPr>
      <t xml:space="preserve">, and the </t>
    </r>
    <r>
      <rPr>
        <b/>
        <sz val="11"/>
        <color theme="9" tint="-0.249977111117893"/>
        <rFont val="Calibri"/>
        <family val="2"/>
        <scheme val="minor"/>
      </rPr>
      <t>first entry of each Section as Green</t>
    </r>
    <r>
      <rPr>
        <sz val="11"/>
        <color theme="1"/>
        <rFont val="Calibri"/>
        <family val="2"/>
        <scheme val="minor"/>
      </rPr>
      <t xml:space="preserve"> (the orange row is technically also the first entry of a section, but Division takes precedence) to make the table more readable</t>
    </r>
  </si>
  <si>
    <t>Symbol Key</t>
  </si>
  <si>
    <t>Actual Letter</t>
  </si>
  <si>
    <t>Index</t>
  </si>
  <si>
    <t>Symbol</t>
  </si>
  <si>
    <t>v3.1</t>
  </si>
  <si>
    <t>SECTION 033100 - CAST-IN-PLACE STRUCTURAL  CONCRETE</t>
  </si>
  <si>
    <t>CAST-IN PLACE CONCRETE</t>
  </si>
  <si>
    <t>SECTION 033300 - CAST-IN-PLACE ARCHITECTURAL CONCRETE</t>
  </si>
  <si>
    <t>CNC-1</t>
  </si>
  <si>
    <t>SEALED CONCRETE</t>
  </si>
  <si>
    <t>CNC-2</t>
  </si>
  <si>
    <t>PAINTED CONCRETE</t>
  </si>
  <si>
    <t>SECTION 034000 - PRECAST CONCRETE</t>
  </si>
  <si>
    <t>PRECAST PANELS</t>
  </si>
  <si>
    <t>PCC-51</t>
  </si>
  <si>
    <t xml:space="preserve">PRECAST PAVERS </t>
  </si>
  <si>
    <t>SECTION 034900 - GLASS-FIBER-REINFORCED CONCRETE</t>
  </si>
  <si>
    <t>GLASS-FIBER-REINFORCED CONCRETE</t>
  </si>
  <si>
    <t>SECTION 042100 - CLAY UNIT MASONRY</t>
  </si>
  <si>
    <t>BRICK</t>
  </si>
  <si>
    <t>TERRACOTTA</t>
  </si>
  <si>
    <t>SECTION 042200 - CONCRETE UNIT MASONRY</t>
  </si>
  <si>
    <t>CONCRETE MASONRY UNIT</t>
  </si>
  <si>
    <t>SECTION 044200 - EXTERIOR STONE CLADDING</t>
  </si>
  <si>
    <t>STONE PANEL</t>
  </si>
  <si>
    <t>SECTION 044200 - CAST STONE MASONRY</t>
  </si>
  <si>
    <t>CAST STONE</t>
  </si>
  <si>
    <t>SECTION 055000 - METAL FABRICATIONS</t>
  </si>
  <si>
    <t>METAL MESH</t>
  </si>
  <si>
    <t>SECTION 055200 - PIPE AND TUBE RAILINGS</t>
  </si>
  <si>
    <t>STEEL PIPE RAILING</t>
  </si>
  <si>
    <t>STEEL STANCHION</t>
  </si>
  <si>
    <t>SECTION 055300 - METAL GRATINGS</t>
  </si>
  <si>
    <t xml:space="preserve">STEEL GRATING </t>
  </si>
  <si>
    <t>SECTION 057000 - DECORATIVE METALS</t>
  </si>
  <si>
    <t>MTL-1</t>
  </si>
  <si>
    <t>STEEL (COLD FORMED, PAINTED, PATINATED, BLACKENED)</t>
  </si>
  <si>
    <t>MTL-2</t>
  </si>
  <si>
    <t>STAINLESS STEEL</t>
  </si>
  <si>
    <t>MTL-3</t>
  </si>
  <si>
    <t>ALUMINUM (ANODIZED, PAINTED)</t>
  </si>
  <si>
    <t>MTL-4</t>
  </si>
  <si>
    <t>ALTERNATE METAL (BRONZE, BRASS, COPPER, ETC.)</t>
  </si>
  <si>
    <t xml:space="preserve">METAL BASE </t>
  </si>
  <si>
    <t>SECTION 057300 - DECORATIVE METAL RAILINGS</t>
  </si>
  <si>
    <t xml:space="preserve">DECORATIVE GLASS GUARDRAIL </t>
  </si>
  <si>
    <t>SECTION 064000 - ARCHITECTURAL WOODWORK</t>
  </si>
  <si>
    <t>WD-1</t>
  </si>
  <si>
    <t>ARCHITECTURAL WOOD</t>
  </si>
  <si>
    <t>SECTION 064023 - INTERIOR ARCHITECTURAL WOODWORK</t>
  </si>
  <si>
    <t>WB-1</t>
  </si>
  <si>
    <t xml:space="preserve">WOOD BASE </t>
  </si>
  <si>
    <t>SECTION 064113 - PLASTIC LAMINATE CASEWORK</t>
  </si>
  <si>
    <t>PLM-1</t>
  </si>
  <si>
    <t xml:space="preserve">PLASTIC LAMINATE </t>
  </si>
  <si>
    <t>SECTION 064200 - ARCHITECTURAL WOOD PANELING</t>
  </si>
  <si>
    <t>WV-1</t>
  </si>
  <si>
    <t xml:space="preserve">WOOD VENEER FLUSH WOOD PANELING </t>
  </si>
  <si>
    <t>SECTION 064313 - WOOD STAIRS</t>
  </si>
  <si>
    <t>WDS-1</t>
  </si>
  <si>
    <t>SOLID WOOD TREAD AND RISER</t>
  </si>
  <si>
    <t>SECTION 066113 - PLASTIC RESIN</t>
  </si>
  <si>
    <t>PLR-1</t>
  </si>
  <si>
    <t xml:space="preserve">RESIN WALL PANELING </t>
  </si>
  <si>
    <t>SECTION 71413 - MEMBRANE WATERPROOFING</t>
  </si>
  <si>
    <t>WP-50</t>
  </si>
  <si>
    <t xml:space="preserve">MEMBRANE WATERPROOFING </t>
  </si>
  <si>
    <t>SECTION 074213 - METAL WALL PANEL</t>
  </si>
  <si>
    <t xml:space="preserve">FLAT SEAM PANELS </t>
  </si>
  <si>
    <t>SECTION 075210 - GREEN ROOFING</t>
  </si>
  <si>
    <t xml:space="preserve">INTENSIVE GREEN ROOF ASSEMBLY </t>
  </si>
  <si>
    <t>SECTION 075323 - EPDM ROOFING</t>
  </si>
  <si>
    <t xml:space="preserve">EPDM </t>
  </si>
  <si>
    <t>SECTION 079500 - EXPANSION JOINT</t>
  </si>
  <si>
    <t>EJ-1</t>
  </si>
  <si>
    <t xml:space="preserve">FLOOR-TO-FLOOR EXPANSION CONTROL </t>
  </si>
  <si>
    <t xml:space="preserve">ALUM. EXPANSION JOINT </t>
  </si>
  <si>
    <t>SECTION 084400 - CURTAIN WALL AND GLAZED ASSEMBLIES</t>
  </si>
  <si>
    <t>ALUMINUM AND GLASS UNITIZED CURTAIN WALL SYSTEM</t>
  </si>
  <si>
    <t>SECTION 088000 - GLAZING</t>
  </si>
  <si>
    <t>GL-1</t>
  </si>
  <si>
    <t>GLASS (NON LAMINATED, NON TEMPERED)</t>
  </si>
  <si>
    <t>GL-2</t>
  </si>
  <si>
    <t>LAMINATED GLASS (CLEAR, TRANSLUCENT INTERLAYER)</t>
  </si>
  <si>
    <t>GL-3</t>
  </si>
  <si>
    <t>TEMPERED GLASS</t>
  </si>
  <si>
    <t>GL-4</t>
  </si>
  <si>
    <t>OPAQUE BACK PAINTED</t>
  </si>
  <si>
    <t>GL-5</t>
  </si>
  <si>
    <t>OPAQUE MAGNETIC AND/OR WRITEABLE</t>
  </si>
  <si>
    <t>GL-6</t>
  </si>
  <si>
    <t>MIRROR GLASS</t>
  </si>
  <si>
    <t>VISION GLASS</t>
  </si>
  <si>
    <t>GL-51</t>
  </si>
  <si>
    <t>SPANDREL GLASS</t>
  </si>
  <si>
    <t>SECTION 089000 - LOUVERS AND VENTS</t>
  </si>
  <si>
    <t xml:space="preserve">EXTRUDED ALUMINUM HORIZONTAL STORM LOUVER </t>
  </si>
  <si>
    <t>SECTION 092216 - NON-STRUCTURAL METAL FRAMING</t>
  </si>
  <si>
    <t>STD-1</t>
  </si>
  <si>
    <t xml:space="preserve">METAL STUD </t>
  </si>
  <si>
    <t>SECTION 092400 - CEMENT PLASTERING (STUCCO)</t>
  </si>
  <si>
    <t xml:space="preserve">PORTLAND CEMENT PLASTER, EXTERIOR SOFFIT FINISH </t>
  </si>
  <si>
    <t>SECTION 092900 - GYPSUM BOARD</t>
  </si>
  <si>
    <t>GWB-1</t>
  </si>
  <si>
    <t>GYPSUM WALL BOARD</t>
  </si>
  <si>
    <t>GWB-50</t>
  </si>
  <si>
    <t xml:space="preserve">GYPSUM WALL BOARD </t>
  </si>
  <si>
    <t>SECTION 093000 - TILING</t>
  </si>
  <si>
    <t>TL-1</t>
  </si>
  <si>
    <t xml:space="preserve">WALL TILE </t>
  </si>
  <si>
    <t>TL-2</t>
  </si>
  <si>
    <t xml:space="preserve">FLOOR TILE </t>
  </si>
  <si>
    <t>SECTION 095113 - ACOUSTICAL PANEL CEILINGS</t>
  </si>
  <si>
    <t>ACP-1</t>
  </si>
  <si>
    <t>SECTION 095123 - ACOUSTICAL TILE CEILINGS</t>
  </si>
  <si>
    <t>ACT-1</t>
  </si>
  <si>
    <t xml:space="preserve">ACOUSTICAL TILE CEILING (CONCEALED GRID) </t>
  </si>
  <si>
    <t>WCP-1</t>
  </si>
  <si>
    <t xml:space="preserve">SUSPENDED WOOD CEILING (GRILLE) </t>
  </si>
  <si>
    <t>WCP-2</t>
  </si>
  <si>
    <t xml:space="preserve">SUSPENDED WOOD CEILING (TILE OR PLANK) </t>
  </si>
  <si>
    <t>SECTION 095133 - METAL CEILINGS</t>
  </si>
  <si>
    <t>MCP-1</t>
  </si>
  <si>
    <t>ACOUSTICAL PERFORATED METAL PAN CEILING SYSTEM</t>
  </si>
  <si>
    <t>MCP-2</t>
  </si>
  <si>
    <t>SECTION 096340 - STONE FLOORING</t>
  </si>
  <si>
    <t>STF-1</t>
  </si>
  <si>
    <t xml:space="preserve">STONE FLOOR TILE  </t>
  </si>
  <si>
    <t>STF-2</t>
  </si>
  <si>
    <t xml:space="preserve">STONE STAIR TREAD </t>
  </si>
  <si>
    <t>SECTION 096400 - WOOD FLOORING</t>
  </si>
  <si>
    <t>WDF-1</t>
  </si>
  <si>
    <t>WOOD FLOORING (SOLID, ENGINEERED, PREFINISHED)</t>
  </si>
  <si>
    <t>WDF-2</t>
  </si>
  <si>
    <t xml:space="preserve">CORK FLOORING </t>
  </si>
  <si>
    <t>SECTION 096500 - RESILIENT FLOORING</t>
  </si>
  <si>
    <t>RF-1</t>
  </si>
  <si>
    <t>RESILIENT TILE FLOORING</t>
  </si>
  <si>
    <t>SECTION 096513 - RESILIENT BASE AND ACCESSORIES</t>
  </si>
  <si>
    <t>RB-1</t>
  </si>
  <si>
    <t>RUBBER BASE</t>
  </si>
  <si>
    <t>SECTION 096600 - TERRAZZO</t>
  </si>
  <si>
    <t>TZ-1</t>
  </si>
  <si>
    <t xml:space="preserve">CEMENT TERRAZZO FLOORING </t>
  </si>
  <si>
    <t>TZ-2</t>
  </si>
  <si>
    <t xml:space="preserve">EPOXY TERRAZZO FLOORING </t>
  </si>
  <si>
    <t>SECTION 096700 - FLUID APPLIED FLOORING</t>
  </si>
  <si>
    <t>RSF-1</t>
  </si>
  <si>
    <t>FLUID APPLIED FLOORING</t>
  </si>
  <si>
    <t>SECTION 096813 - CARPET TILE</t>
  </si>
  <si>
    <t>CPT-1</t>
  </si>
  <si>
    <t xml:space="preserve">CARPET TILE </t>
  </si>
  <si>
    <t>SECTION 096816 - SHEET CARPET</t>
  </si>
  <si>
    <t>CPT-2</t>
  </si>
  <si>
    <t xml:space="preserve">CARPET BROADLOOM </t>
  </si>
  <si>
    <t>SECTION 097200 - WALL COVERINGS</t>
  </si>
  <si>
    <t>WC-1</t>
  </si>
  <si>
    <t>WALLCOVERING</t>
  </si>
  <si>
    <t>SECTION 097500 - STONE WALL FACING</t>
  </si>
  <si>
    <t>ST-2</t>
  </si>
  <si>
    <t xml:space="preserve">STONE WALL PANELS </t>
  </si>
  <si>
    <t>SECTION 097723 - FABRIC WRAPPED PANELS</t>
  </si>
  <si>
    <t>FWP-1</t>
  </si>
  <si>
    <t xml:space="preserve">FABRIC-WRAPPED WALL PANEL  </t>
  </si>
  <si>
    <t>SECTION 098000 - ACOUSTIC TREATMENT</t>
  </si>
  <si>
    <t>AT-1</t>
  </si>
  <si>
    <t xml:space="preserve">ACOUSTIC PLASTER CEILING </t>
  </si>
  <si>
    <t>SECTION 098443 - WOOD ACOUSTICAL PANELS</t>
  </si>
  <si>
    <t>WG-2</t>
  </si>
  <si>
    <t xml:space="preserve">WOOD GRILLE PANEL CEILING  </t>
  </si>
  <si>
    <t>SECTION 099100 - INTERIOR PAINTING</t>
  </si>
  <si>
    <t>PT-1</t>
  </si>
  <si>
    <t>PAINT</t>
  </si>
  <si>
    <t>SECTION 099300 - STAINING AND TRANSPARENT FINISHING</t>
  </si>
  <si>
    <t>SF-1</t>
  </si>
  <si>
    <t xml:space="preserve">STAINING AND TRANSPARENT FINISH  </t>
  </si>
  <si>
    <t>SECTION 099600 - HIGH-PERFORMANCE COATINGS</t>
  </si>
  <si>
    <t>CTG-1</t>
  </si>
  <si>
    <t xml:space="preserve">HIGH-PERFORMANCE COATING  </t>
  </si>
  <si>
    <t>SECTION 101123 - TACKBOARDS</t>
  </si>
  <si>
    <t>MB-1</t>
  </si>
  <si>
    <t>MARKERBOARD</t>
  </si>
  <si>
    <t>MBP-1</t>
  </si>
  <si>
    <t>MONOLITHIC MARKER BOARD PANELS (CERAMIC STEEL FULL HEIGHT)</t>
  </si>
  <si>
    <t>TB-1</t>
  </si>
  <si>
    <t>TACKBOARD</t>
  </si>
  <si>
    <t>SECTION 101423 - PANEL SIGNAGE</t>
  </si>
  <si>
    <t>PS-1</t>
  </si>
  <si>
    <t xml:space="preserve">PANEL SIGN </t>
  </si>
  <si>
    <t>SECTION 102100 - TOILET PARTITIONS</t>
  </si>
  <si>
    <t>TP-1</t>
  </si>
  <si>
    <t xml:space="preserve">SOLID-POLYMER TOILET COMPARTMENT  </t>
  </si>
  <si>
    <t>SECTION 102800 - TOILET, BATH, AND LAUNDRY ACCESSORIES</t>
  </si>
  <si>
    <t>TA-1</t>
  </si>
  <si>
    <t xml:space="preserve">TOILET TISSUE (ROLL) DISPENSER  </t>
  </si>
  <si>
    <t>SECTION 104413 - FIRE PROTECTION CABINETS</t>
  </si>
  <si>
    <t>FE-1</t>
  </si>
  <si>
    <t xml:space="preserve">FIRE EXTINGUISHER  WITH CABINET  </t>
  </si>
  <si>
    <t>SECTION 122200 - DRAPERIES</t>
  </si>
  <si>
    <t>DRO-1</t>
  </si>
  <si>
    <t>MANUALLY OPERATED DRAPERY</t>
  </si>
  <si>
    <t>SECTION 122413 - ROLLER WINDOW SHADES</t>
  </si>
  <si>
    <t>RS-1</t>
  </si>
  <si>
    <t xml:space="preserve">MANUALLY OPERATED ROLLER SHADE  </t>
  </si>
  <si>
    <t>SECTION 123640 - STONE COUNTERTOPS</t>
  </si>
  <si>
    <t>STC-1</t>
  </si>
  <si>
    <t>STONE COUNTERTOPS</t>
  </si>
  <si>
    <t>SECTION 123661 -SIMULATED STONE COUNTERTOPS</t>
  </si>
  <si>
    <t>SSC-1</t>
  </si>
  <si>
    <t>SIMULATED STONE COUNTERTOPS (SOLID SURFACING OR QUARTZ AGGLOMERATE)</t>
  </si>
  <si>
    <t>SECTION 124813 - ENTRANCE FLOOR MATS AND FRAMES</t>
  </si>
  <si>
    <t>EM-50</t>
  </si>
  <si>
    <t>ALUMINUM AND CARPET MAT</t>
  </si>
  <si>
    <t>ACOUSTICAL TILE CEILING (CONCEALED GRID)</t>
  </si>
  <si>
    <t>ACOUSTIC PLASTER CEILING</t>
  </si>
  <si>
    <t>33300</t>
  </si>
  <si>
    <t>CARPET TILE</t>
  </si>
  <si>
    <t>CARPET BROADLOOM</t>
  </si>
  <si>
    <t>HIGH-PERFORMANCE COATING</t>
  </si>
  <si>
    <t>122200</t>
  </si>
  <si>
    <t>FLOOR-TO-FLOOR EXPANSION CONTROL</t>
  </si>
  <si>
    <t>79500</t>
  </si>
  <si>
    <t>ALUM. EXPANSION JOINT</t>
  </si>
  <si>
    <t>FIRE EXTINGUISHER  WITH CABINET</t>
  </si>
  <si>
    <t>104413</t>
  </si>
  <si>
    <t>FABRIC-WRAPPED WALL PANEL</t>
  </si>
  <si>
    <t>STEEL GRATING</t>
  </si>
  <si>
    <t>92900</t>
  </si>
  <si>
    <t>EXTRUDED ALUMINUM HORIZONTAL STORM LOUVER</t>
  </si>
  <si>
    <t>101123</t>
  </si>
  <si>
    <t>55000</t>
  </si>
  <si>
    <t>FLAT SEAM PANELS</t>
  </si>
  <si>
    <t>74213</t>
  </si>
  <si>
    <t>METAL BASE</t>
  </si>
  <si>
    <t>PRECAST PAVERS</t>
  </si>
  <si>
    <t>PLASTIC LAMINATE</t>
  </si>
  <si>
    <t>RESIN WALL PANELING</t>
  </si>
  <si>
    <t>PANEL SIGN</t>
  </si>
  <si>
    <t>101423</t>
  </si>
  <si>
    <t>INTENSIVE GREEN ROOF ASSEMBLY</t>
  </si>
  <si>
    <t>EPDM</t>
  </si>
  <si>
    <t>DECORATIVE GLASS GUARDRAIL</t>
  </si>
  <si>
    <t>MANUALLY OPERATED ROLLER SHADE</t>
  </si>
  <si>
    <t>122413</t>
  </si>
  <si>
    <t>STAINING AND TRANSPARENT FINISH</t>
  </si>
  <si>
    <t>STONE WALL PANELS</t>
  </si>
  <si>
    <t>PORTLAND CEMENT PLASTER, EXTERIOR SOFFIT FINISH</t>
  </si>
  <si>
    <t>METAL STUD</t>
  </si>
  <si>
    <t>92216</t>
  </si>
  <si>
    <t>STONE FLOOR TILE</t>
  </si>
  <si>
    <t>STONE STAIR TREAD</t>
  </si>
  <si>
    <t>TOILET TISSUE (ROLL) DISPENSER</t>
  </si>
  <si>
    <t>102800</t>
  </si>
  <si>
    <t>WALL TILE</t>
  </si>
  <si>
    <t>FLOOR TILE</t>
  </si>
  <si>
    <t>SOLID-POLYMER TOILET COMPARTMENT</t>
  </si>
  <si>
    <t>102100</t>
  </si>
  <si>
    <t>CEMENT TERRAZZO FLOORING</t>
  </si>
  <si>
    <t>EPOXY TERRAZZO FLOORING</t>
  </si>
  <si>
    <t>WOOD BASE</t>
  </si>
  <si>
    <t>SUSPENDED WOOD CEILING (GRILLE)</t>
  </si>
  <si>
    <t>SUSPENDED WOOD CEILING (TILE OR PLANK)</t>
  </si>
  <si>
    <t>CORK FLOORING</t>
  </si>
  <si>
    <t>WOOD GRILLE PANEL CEILING</t>
  </si>
  <si>
    <t>MEMBRANE WATERPROOFING</t>
  </si>
  <si>
    <t>71413</t>
  </si>
  <si>
    <t>WOOD VENEER FLUSH WOOD PANELING</t>
  </si>
  <si>
    <t>10</t>
  </si>
  <si>
    <t>12</t>
  </si>
  <si>
    <t>3</t>
  </si>
  <si>
    <t>5</t>
  </si>
  <si>
    <t>7</t>
  </si>
  <si>
    <t>9</t>
  </si>
  <si>
    <t>GWB-1A</t>
  </si>
  <si>
    <t>ACT-1A</t>
  </si>
  <si>
    <t>ACT-1B</t>
  </si>
  <si>
    <t>WCP-1A</t>
  </si>
  <si>
    <t>WCP-1B</t>
  </si>
  <si>
    <t>WCP-2A</t>
  </si>
  <si>
    <t>WCP-2B</t>
  </si>
  <si>
    <t>GYPSUM BOARD CEILING (SUSPENSION)</t>
  </si>
  <si>
    <t>GYPSUM BOARD CEILING (BLACK IRON NYC)</t>
  </si>
  <si>
    <t>SECTION 092226 - GYPSUM BOARD CEILING</t>
  </si>
  <si>
    <t>GWB-1B</t>
  </si>
  <si>
    <t>FCP-1</t>
  </si>
  <si>
    <t>FELT CEILING PANELS</t>
  </si>
  <si>
    <t>FRP-1</t>
  </si>
  <si>
    <t>FIBERGLASS REINFORCED PLASTIC PANEL</t>
  </si>
  <si>
    <t>MCP-4B</t>
  </si>
  <si>
    <t>METAL CEILING PANELS MESH</t>
  </si>
  <si>
    <t>FRC-1</t>
  </si>
  <si>
    <t>FRC-2</t>
  </si>
  <si>
    <t>FIRE RATED CEILING 1 HR</t>
  </si>
  <si>
    <t>FIRE RATED CEILING 2 HR</t>
  </si>
  <si>
    <t>SAT-1</t>
  </si>
  <si>
    <t>MCP-1A</t>
  </si>
  <si>
    <t>MCP-1B</t>
  </si>
  <si>
    <t>MCP-2A</t>
  </si>
  <si>
    <t>MCP-2B</t>
  </si>
  <si>
    <t>MCP-3</t>
  </si>
  <si>
    <t>MCP-3A</t>
  </si>
  <si>
    <t>MCP-3B</t>
  </si>
  <si>
    <t>ACOUSTICAL PANELS</t>
  </si>
  <si>
    <t>SECTION 095446 - FABRIC WARPPED CEILING PANELS</t>
  </si>
  <si>
    <t>STO-1</t>
  </si>
  <si>
    <t>STUCCO CEILING (EXTERIOR)</t>
  </si>
  <si>
    <t>MCP-4A</t>
  </si>
  <si>
    <t>SPRAYED CELLULOSE ACOUSTICAL INSULATION</t>
  </si>
  <si>
    <t>SECTION 098316 - METAL CEILINGS</t>
  </si>
  <si>
    <t>SECTION 092900 - FIRE RATED CEILINGS</t>
  </si>
  <si>
    <t>SECTION 097700 - FIBERGLASS REINFORCED PLASTIC CEILINGS</t>
  </si>
  <si>
    <t>SECTION 092400 - STUCCO CEILINGS EXTERIOR</t>
  </si>
  <si>
    <t>SECTION 095426 - WOOD CEILINGS</t>
  </si>
  <si>
    <t>ACOUSTICAL METAL PAN CEILING</t>
  </si>
  <si>
    <t>LINEAR METAL CEILING</t>
  </si>
  <si>
    <t>SECTION 095436 - SUSPENDED DECORATIVE GRIDS</t>
  </si>
  <si>
    <t>SECTION  095423 -LINEAR METAL CEILINGS</t>
  </si>
  <si>
    <t>BldgId</t>
  </si>
  <si>
    <t>Threre is no macros</t>
  </si>
  <si>
    <t>the specs will move closer</t>
  </si>
  <si>
    <t>there will be more than one uasge of grouping</t>
  </si>
  <si>
    <t>use bldgId I tere is a expected diference.</t>
  </si>
  <si>
    <t>dwdww</t>
  </si>
  <si>
    <t>building1</t>
  </si>
  <si>
    <t xml:space="preserve">Sen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</si>
</sst>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0"/>
      <name val="Webdings"/>
      <family val="1"/>
      <charset val="2"/>
    </font>
    <font>
      <sz val="10"/>
      <color theme="0" tint="-0.499984740745262"/>
      <name val="Webdings"/>
      <family val="1"/>
      <charset val="2"/>
    </font>
    <font>
      <sz val="10"/>
      <color theme="4" tint="0.39994506668294322"/>
      <name val="Webdings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5" fillId="4" borderId="5" xfId="0" applyFont="1" applyFill="1" applyBorder="1"/>
    <xf numFmtId="0" fontId="5" fillId="4" borderId="1" xfId="0" applyFont="1" applyFill="1" applyBorder="1"/>
    <xf numFmtId="0" fontId="5" fillId="4" borderId="6" xfId="0" applyFont="1" applyFill="1" applyBorder="1"/>
    <xf numFmtId="0" fontId="0" fillId="4" borderId="5" xfId="0" applyFill="1" applyBorder="1" applyAlignment="1">
      <alignment horizontal="center"/>
    </xf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Fill="1"/>
    <xf numFmtId="0" fontId="1" fillId="5" borderId="0" xfId="0" applyFont="1" applyFill="1"/>
    <xf numFmtId="0" fontId="6" fillId="0" borderId="0" xfId="0" applyFont="1"/>
    <xf numFmtId="0" fontId="7" fillId="0" borderId="0" xfId="0" applyFont="1" applyAlignment="1">
      <alignment vertical="top" wrapText="1"/>
    </xf>
    <xf numFmtId="0" fontId="8" fillId="0" borderId="0" xfId="0" applyFont="1"/>
    <xf numFmtId="0" fontId="6" fillId="0" borderId="0" xfId="0" applyFont="1" applyAlignment="1">
      <alignment horizontal="center"/>
    </xf>
    <xf numFmtId="0" fontId="8" fillId="0" borderId="0" xfId="0" applyFont="1" applyAlignment="1"/>
    <xf numFmtId="0" fontId="6" fillId="0" borderId="1" xfId="0" applyFont="1" applyFill="1" applyBorder="1" applyAlignment="1">
      <alignment vertical="top" wrapText="1"/>
    </xf>
    <xf numFmtId="164" fontId="6" fillId="0" borderId="1" xfId="0" applyNumberFormat="1" applyFont="1" applyFill="1" applyBorder="1" applyAlignment="1">
      <alignment horizontal="center" vertical="top" wrapText="1"/>
    </xf>
    <xf numFmtId="0" fontId="0" fillId="6" borderId="9" xfId="0" applyFill="1" applyBorder="1"/>
    <xf numFmtId="0" fontId="1" fillId="6" borderId="8" xfId="0" applyFont="1" applyFill="1" applyBorder="1"/>
    <xf numFmtId="0" fontId="0" fillId="6" borderId="5" xfId="0" applyFill="1" applyBorder="1"/>
    <xf numFmtId="0" fontId="0" fillId="6" borderId="6" xfId="0" applyFill="1" applyBorder="1" applyAlignment="1">
      <alignment horizontal="left"/>
    </xf>
    <xf numFmtId="0" fontId="0" fillId="6" borderId="11" xfId="0" applyFill="1" applyBorder="1"/>
    <xf numFmtId="0" fontId="0" fillId="6" borderId="12" xfId="0" applyFill="1" applyBorder="1" applyAlignment="1">
      <alignment horizontal="left"/>
    </xf>
    <xf numFmtId="0" fontId="0" fillId="3" borderId="13" xfId="0" applyFill="1" applyBorder="1"/>
    <xf numFmtId="0" fontId="0" fillId="3" borderId="14" xfId="0" applyFill="1" applyBorder="1"/>
    <xf numFmtId="0" fontId="0" fillId="3" borderId="10" xfId="0" applyFill="1" applyBorder="1"/>
    <xf numFmtId="0" fontId="0" fillId="4" borderId="15" xfId="0" applyFill="1" applyBorder="1"/>
    <xf numFmtId="0" fontId="1" fillId="0" borderId="0" xfId="0" applyFont="1" applyAlignment="1">
      <alignment horizontal="center" vertical="top" wrapText="1"/>
    </xf>
    <xf numFmtId="0" fontId="0" fillId="6" borderId="16" xfId="0" applyFill="1" applyBorder="1"/>
    <xf numFmtId="0" fontId="0" fillId="6" borderId="17" xfId="0" applyFill="1" applyBorder="1" applyAlignment="1">
      <alignment horizontal="left"/>
    </xf>
    <xf numFmtId="0" fontId="12" fillId="0" borderId="0" xfId="2" applyFont="1"/>
    <xf numFmtId="0" fontId="0" fillId="7" borderId="19" xfId="0" applyFill="1" applyBorder="1"/>
    <xf numFmtId="0" fontId="0" fillId="7" borderId="21" xfId="0" applyFill="1" applyBorder="1"/>
    <xf numFmtId="0" fontId="1" fillId="7" borderId="19" xfId="0" applyFont="1" applyFill="1" applyBorder="1"/>
    <xf numFmtId="0" fontId="1" fillId="7" borderId="1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15" fillId="7" borderId="20" xfId="0" applyFont="1" applyFill="1" applyBorder="1" applyAlignment="1">
      <alignment horizontal="center"/>
    </xf>
    <xf numFmtId="0" fontId="15" fillId="7" borderId="23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top" wrapText="1"/>
    </xf>
    <xf numFmtId="0" fontId="0" fillId="0" borderId="27" xfId="0" applyBorder="1" applyAlignment="1">
      <alignment horizontal="left" vertical="center" wrapText="1"/>
    </xf>
    <xf numFmtId="0" fontId="16" fillId="0" borderId="27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0" fillId="0" borderId="28" xfId="0" applyBorder="1" applyAlignment="1">
      <alignment horizontal="left" vertical="center" wrapText="1"/>
    </xf>
    <xf numFmtId="0" fontId="17" fillId="0" borderId="28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1" xfId="0" applyFont="1" applyFill="1" applyBorder="1" applyAlignment="1">
      <alignment vertical="center" wrapText="1"/>
    </xf>
    <xf numFmtId="164" fontId="6" fillId="0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8" borderId="0" xfId="0" applyFill="1" applyAlignment="1">
      <alignment vertical="top"/>
    </xf>
    <xf numFmtId="0" fontId="7" fillId="0" borderId="1" xfId="0" applyFont="1" applyBorder="1" applyAlignment="1">
      <alignment horizontal="center" vertical="top" wrapText="1"/>
    </xf>
    <xf numFmtId="0" fontId="3" fillId="0" borderId="29" xfId="0" applyFont="1" applyBorder="1" applyAlignment="1">
      <alignment horizontal="center" vertical="top" wrapText="1"/>
    </xf>
    <xf numFmtId="0" fontId="17" fillId="0" borderId="30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top" wrapText="1"/>
    </xf>
    <xf numFmtId="0" fontId="16" fillId="0" borderId="30" xfId="0" applyFont="1" applyBorder="1" applyAlignment="1">
      <alignment horizontal="center" vertical="center" wrapText="1"/>
    </xf>
    <xf numFmtId="0" fontId="0" fillId="0" borderId="29" xfId="0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0" fillId="0" borderId="30" xfId="0" applyBorder="1" applyAlignment="1">
      <alignment horizontal="left" vertical="center" wrapText="1"/>
    </xf>
    <xf numFmtId="0" fontId="0" fillId="0" borderId="29" xfId="0" applyBorder="1" applyAlignment="1">
      <alignment horizontal="left" vertical="top" wrapText="1"/>
    </xf>
    <xf numFmtId="0" fontId="1" fillId="0" borderId="29" xfId="0" applyFont="1" applyBorder="1" applyAlignment="1">
      <alignment horizontal="left" vertical="top" wrapText="1"/>
    </xf>
    <xf numFmtId="0" fontId="1" fillId="0" borderId="30" xfId="0" applyFont="1" applyBorder="1" applyAlignment="1">
      <alignment horizontal="left" vertical="center" wrapText="1"/>
    </xf>
    <xf numFmtId="0" fontId="1" fillId="9" borderId="0" xfId="0" applyFont="1" applyFill="1" applyAlignment="1">
      <alignment vertical="top" wrapText="1"/>
    </xf>
    <xf numFmtId="0" fontId="0" fillId="2" borderId="0" xfId="0" applyFill="1" applyAlignment="1">
      <alignment horizontal="center" vertical="top" wrapText="1"/>
    </xf>
    <xf numFmtId="0" fontId="2" fillId="3" borderId="18" xfId="0" applyFont="1" applyFill="1" applyBorder="1" applyAlignment="1">
      <alignment horizontal="center" vertical="top" wrapText="1"/>
    </xf>
    <xf numFmtId="0" fontId="2" fillId="3" borderId="0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  <xf numFmtId="0" fontId="1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0" borderId="0" xfId="0" applyAlignment="1">
      <alignment wrapText="1"/>
    </xf>
    <xf numFmtId="0" fontId="1" fillId="7" borderId="24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1" fillId="7" borderId="26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5AD926C4-472C-4BE2-8233-A6EB791DD4EB}"/>
  </cellStyles>
  <dxfs count="57">
    <dxf>
      <fill>
        <patternFill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left style="thick">
          <color auto="1"/>
        </left>
        <right style="thick">
          <color auto="1"/>
        </right>
        <top style="thin">
          <color indexed="64"/>
        </top>
        <bottom style="thick">
          <color auto="1"/>
        </bottom>
      </border>
    </dxf>
    <dxf>
      <fill>
        <patternFill>
          <fgColor indexed="64"/>
          <bgColor theme="9" tint="0.79998168889431442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 style="hair">
          <color indexed="64"/>
        </top>
        <bottom style="hair">
          <color indexed="64"/>
        </bottom>
        <vertical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/>
      </font>
      <alignment horizontal="left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ill>
        <patternFill patternType="lightUp">
          <fgColor theme="1"/>
        </patternFill>
      </fill>
    </dxf>
    <dxf>
      <font>
        <color theme="0" tint="-0.499984740745262"/>
      </font>
    </dxf>
    <dxf>
      <fill>
        <patternFill>
          <bgColor theme="9" tint="0.59996337778862885"/>
        </patternFill>
      </fill>
    </dxf>
    <dxf>
      <fill>
        <patternFill>
          <bgColor theme="7" tint="0.399914548173467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9" tint="0.79992065187536243"/>
          <bgColor rgb="FFF4F9F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theme="6"/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dotted">
          <color theme="1" tint="0.34998626667073579"/>
        </left>
        <right style="dotted">
          <color theme="1" tint="0.34998626667073579"/>
        </right>
        <top style="dotted">
          <color theme="1" tint="0.34998626667073579"/>
        </top>
        <bottom style="dotted">
          <color theme="1" tint="0.34998626667073579"/>
        </bottom>
        <vertical style="dotted">
          <color theme="1" tint="0.34998626667073579"/>
        </vertical>
        <horizontal style="dotted">
          <color theme="1" tint="0.34998626667073579"/>
        </horizontal>
      </border>
    </dxf>
  </dxfs>
  <tableStyles count="1" defaultTableStyle="TableStyleMedium2" defaultPivotStyle="PivotStyleLight16">
    <tableStyle name="KeynoteDatabase" pivot="0" count="6" xr9:uid="{F455680F-7BF2-45FE-9E05-0493211B34B4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</tableStyle>
  </tableStyles>
  <colors>
    <mruColors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50800</xdr:rowOff>
        </xdr:from>
        <xdr:to>
          <xdr:col>7</xdr:col>
          <xdr:colOff>292100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Resort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11</xdr:row>
          <xdr:rowOff>127000</xdr:rowOff>
        </xdr:from>
        <xdr:to>
          <xdr:col>7</xdr:col>
          <xdr:colOff>260350</xdr:colOff>
          <xdr:row>13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Indices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13</xdr:row>
          <xdr:rowOff>177800</xdr:rowOff>
        </xdr:from>
        <xdr:to>
          <xdr:col>7</xdr:col>
          <xdr:colOff>254000</xdr:colOff>
          <xdr:row>15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Keynotes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5347223" backgroundQuery="1" createdVersion="6" refreshedVersion="8" minRefreshableVersion="3" recordCount="0" supportSubquery="1" supportAdvancedDrill="1" xr:uid="{3B1C6896-5156-494C-A296-914F46E09255}">
  <cacheSource type="external" connectionId="1"/>
  <cacheFields count="3">
    <cacheField name="[Database].[KEYNOTE #].[KEYNOTE #]" caption="KEYNOTE #" numFmtId="0" hierarchy="5" level="1">
      <sharedItems count="203">
        <s v="101"/>
        <s v="102"/>
        <s v="103"/>
        <s v="1101"/>
        <s v="1102"/>
        <s v="1103"/>
        <s v="1201"/>
        <s v="1202"/>
        <s v="1203"/>
        <s v="1301"/>
        <s v="1302"/>
        <s v="1303"/>
        <s v="1401"/>
        <s v="1402"/>
        <s v="1403"/>
        <s v="1501"/>
        <s v="1502"/>
        <s v="1503"/>
        <s v="1601"/>
        <s v="1602"/>
        <s v="1603"/>
        <s v="1701"/>
        <s v="1702"/>
        <s v="1703"/>
        <s v="201"/>
        <s v="202"/>
        <s v="203"/>
        <s v="301"/>
        <s v="302"/>
        <s v="303"/>
        <s v="401"/>
        <s v="402"/>
        <s v="403"/>
        <s v="501"/>
        <s v="502"/>
        <s v="503"/>
        <s v="5101"/>
        <s v="5102"/>
        <s v="5103"/>
        <s v="5201"/>
        <s v="5202"/>
        <s v="5203"/>
        <s v="5301"/>
        <s v="5302"/>
        <s v="5303"/>
        <s v="5401"/>
        <s v="5402"/>
        <s v="5403"/>
        <s v="5501"/>
        <s v="5502"/>
        <s v="5503"/>
        <s v="5601"/>
        <s v="5602"/>
        <s v="5603"/>
        <s v="5701"/>
        <s v="5702"/>
        <s v="5703"/>
        <s v="5704"/>
        <s v="5705"/>
        <s v="5706"/>
        <s v="601"/>
        <s v="602"/>
        <s v="603"/>
        <s v="701"/>
        <s v="702"/>
        <s v="703"/>
        <s v="7101"/>
        <s v="7102"/>
        <s v="7103"/>
        <s v="801"/>
        <s v="802"/>
        <s v="901"/>
        <s v="902"/>
        <s v="903"/>
        <s v="904"/>
        <s v="905"/>
        <s v="906"/>
        <s v="907"/>
        <s v="908"/>
        <s v="909"/>
        <s v="910"/>
        <s v="911"/>
        <s v="912"/>
        <s v="913"/>
        <s v="914"/>
        <s v="915"/>
        <s v="916"/>
        <s v="917"/>
        <s v="918"/>
        <s v="919"/>
        <s v="ACP-1"/>
        <s v="ACT-1"/>
        <s v="ACT-1A"/>
        <s v="ACT-1B"/>
        <s v="AT-1"/>
        <s v="B2010.20"/>
        <s v="B2020.30"/>
        <s v="BR-50"/>
        <s v="C1010.10"/>
        <s v="CMU-50"/>
        <s v="CNC-1"/>
        <s v="CNC-2"/>
        <s v="CNC-50"/>
        <s v="CNC-51"/>
        <s v="CPT-1"/>
        <s v="CPT-2"/>
        <s v="CST-50"/>
        <s v="CTG-1"/>
        <s v="CW-50"/>
        <s v="DRO-1"/>
        <s v="EJ-1"/>
        <s v="EJ-50"/>
        <s v="EM-50"/>
        <s v="FCP-1"/>
        <s v="FE-1"/>
        <s v="FRC-1"/>
        <s v="FRC-2"/>
        <s v="FRP-1"/>
        <s v="FWP-1"/>
        <s v="GFC-50"/>
        <s v="GL-1"/>
        <s v="GL-2"/>
        <s v="GL-3"/>
        <s v="GL-4"/>
        <s v="GL-5"/>
        <s v="GL-50"/>
        <s v="GL-51"/>
        <s v="GL-6"/>
        <s v="GRT-50"/>
        <s v="GWB-1"/>
        <s v="GWB-1A"/>
        <s v="GWB-1B"/>
        <s v="GWB-50"/>
        <s v="LVR-50"/>
        <s v="MB-1"/>
        <s v="MBP-1"/>
        <s v="MCP-1"/>
        <s v="MCP-1A"/>
        <s v="MCP-1B"/>
        <s v="MCP-2"/>
        <s v="MCP-2A"/>
        <s v="MCP-2B"/>
        <s v="MCP-3"/>
        <s v="MCP-3A"/>
        <s v="MCP-3B"/>
        <s v="MCP-4A"/>
        <s v="MCP-4B"/>
        <s v="MF-50"/>
        <s v="MP-50"/>
        <s v="MTL-1"/>
        <s v="MTL-2"/>
        <s v="MTL-3"/>
        <s v="MTL-4"/>
        <s v="MTL-50"/>
        <s v="PCC-50"/>
        <s v="PCC-51"/>
        <s v="PLM-1"/>
        <s v="PLR-1"/>
        <s v="PS-1"/>
        <s v="PT-1"/>
        <s v="RB-1"/>
        <s v="RF-1"/>
        <s v="RFG-50"/>
        <s v="RFG-51"/>
        <s v="RLG-50"/>
        <s v="RLG-51"/>
        <s v="RLG-52"/>
        <s v="RS-1"/>
        <s v="RSF-1"/>
        <s v="SAT-1"/>
        <s v="SF-1"/>
        <s v="SSC-1"/>
        <s v="ST-2"/>
        <s v="ST-50"/>
        <s v="STC-1"/>
        <s v="STC-50"/>
        <s v="STD-1"/>
        <s v="STF-1"/>
        <s v="STF-2"/>
        <s v="STO-1"/>
        <s v="TA-1"/>
        <s v="TB-1"/>
        <s v="TC-50"/>
        <s v="TL-1"/>
        <s v="TL-2"/>
        <s v="TP-1"/>
        <s v="TZ-1"/>
        <s v="TZ-2"/>
        <s v="WB-1"/>
        <s v="WC-1"/>
        <s v="WCP-1"/>
        <s v="WCP-1A"/>
        <s v="WCP-1B"/>
        <s v="WCP-2"/>
        <s v="WCP-2A"/>
        <s v="WCP-2B"/>
        <s v="WD-1"/>
        <s v="WDF-1"/>
        <s v="WDF-2"/>
        <s v="WDS-1"/>
        <s v="WG-2"/>
        <s v="WP-50"/>
        <s v="WV-1"/>
      </sharedItems>
      <extLst>
        <ext xmlns:x15="http://schemas.microsoft.com/office/spreadsheetml/2010/11/main" uri="{4F2E5C28-24EA-4eb8-9CBF-B6C8F9C3D259}">
          <x15:cachedUniqueNames>
            <x15:cachedUniqueName index="0" name="[Database].[KEYNOTE #].&amp;[101]"/>
            <x15:cachedUniqueName index="1" name="[Database].[KEYNOTE #].&amp;[102]"/>
            <x15:cachedUniqueName index="2" name="[Database].[KEYNOTE #].&amp;[103]"/>
            <x15:cachedUniqueName index="3" name="[Database].[KEYNOTE #].&amp;[1101]"/>
            <x15:cachedUniqueName index="4" name="[Database].[KEYNOTE #].&amp;[1102]"/>
            <x15:cachedUniqueName index="5" name="[Database].[KEYNOTE #].&amp;[1103]"/>
            <x15:cachedUniqueName index="6" name="[Database].[KEYNOTE #].&amp;[1201]"/>
            <x15:cachedUniqueName index="7" name="[Database].[KEYNOTE #].&amp;[1202]"/>
            <x15:cachedUniqueName index="8" name="[Database].[KEYNOTE #].&amp;[1203]"/>
            <x15:cachedUniqueName index="9" name="[Database].[KEYNOTE #].&amp;[1301]"/>
            <x15:cachedUniqueName index="10" name="[Database].[KEYNOTE #].&amp;[1302]"/>
            <x15:cachedUniqueName index="11" name="[Database].[KEYNOTE #].&amp;[1303]"/>
            <x15:cachedUniqueName index="12" name="[Database].[KEYNOTE #].&amp;[1401]"/>
            <x15:cachedUniqueName index="13" name="[Database].[KEYNOTE #].&amp;[1402]"/>
            <x15:cachedUniqueName index="14" name="[Database].[KEYNOTE #].&amp;[1403]"/>
            <x15:cachedUniqueName index="15" name="[Database].[KEYNOTE #].&amp;[1501]"/>
            <x15:cachedUniqueName index="16" name="[Database].[KEYNOTE #].&amp;[1502]"/>
            <x15:cachedUniqueName index="17" name="[Database].[KEYNOTE #].&amp;[1503]"/>
            <x15:cachedUniqueName index="18" name="[Database].[KEYNOTE #].&amp;[1601]"/>
            <x15:cachedUniqueName index="19" name="[Database].[KEYNOTE #].&amp;[1602]"/>
            <x15:cachedUniqueName index="20" name="[Database].[KEYNOTE #].&amp;[1603]"/>
            <x15:cachedUniqueName index="21" name="[Database].[KEYNOTE #].&amp;[1701]"/>
            <x15:cachedUniqueName index="22" name="[Database].[KEYNOTE #].&amp;[1702]"/>
            <x15:cachedUniqueName index="23" name="[Database].[KEYNOTE #].&amp;[1703]"/>
            <x15:cachedUniqueName index="24" name="[Database].[KEYNOTE #].&amp;[201]"/>
            <x15:cachedUniqueName index="25" name="[Database].[KEYNOTE #].&amp;[202]"/>
            <x15:cachedUniqueName index="26" name="[Database].[KEYNOTE #].&amp;[203]"/>
            <x15:cachedUniqueName index="27" name="[Database].[KEYNOTE #].&amp;[301]"/>
            <x15:cachedUniqueName index="28" name="[Database].[KEYNOTE #].&amp;[302]"/>
            <x15:cachedUniqueName index="29" name="[Database].[KEYNOTE #].&amp;[303]"/>
            <x15:cachedUniqueName index="30" name="[Database].[KEYNOTE #].&amp;[401]"/>
            <x15:cachedUniqueName index="31" name="[Database].[KEYNOTE #].&amp;[402]"/>
            <x15:cachedUniqueName index="32" name="[Database].[KEYNOTE #].&amp;[403]"/>
            <x15:cachedUniqueName index="33" name="[Database].[KEYNOTE #].&amp;[501]"/>
            <x15:cachedUniqueName index="34" name="[Database].[KEYNOTE #].&amp;[502]"/>
            <x15:cachedUniqueName index="35" name="[Database].[KEYNOTE #].&amp;[503]"/>
            <x15:cachedUniqueName index="36" name="[Database].[KEYNOTE #].&amp;[5101]"/>
            <x15:cachedUniqueName index="37" name="[Database].[KEYNOTE #].&amp;[5102]"/>
            <x15:cachedUniqueName index="38" name="[Database].[KEYNOTE #].&amp;[5103]"/>
            <x15:cachedUniqueName index="39" name="[Database].[KEYNOTE #].&amp;[5201]"/>
            <x15:cachedUniqueName index="40" name="[Database].[KEYNOTE #].&amp;[5202]"/>
            <x15:cachedUniqueName index="41" name="[Database].[KEYNOTE #].&amp;[5203]"/>
            <x15:cachedUniqueName index="42" name="[Database].[KEYNOTE #].&amp;[5301]"/>
            <x15:cachedUniqueName index="43" name="[Database].[KEYNOTE #].&amp;[5302]"/>
            <x15:cachedUniqueName index="44" name="[Database].[KEYNOTE #].&amp;[5303]"/>
            <x15:cachedUniqueName index="45" name="[Database].[KEYNOTE #].&amp;[5401]"/>
            <x15:cachedUniqueName index="46" name="[Database].[KEYNOTE #].&amp;[5402]"/>
            <x15:cachedUniqueName index="47" name="[Database].[KEYNOTE #].&amp;[5403]"/>
            <x15:cachedUniqueName index="48" name="[Database].[KEYNOTE #].&amp;[5501]"/>
            <x15:cachedUniqueName index="49" name="[Database].[KEYNOTE #].&amp;[5502]"/>
            <x15:cachedUniqueName index="50" name="[Database].[KEYNOTE #].&amp;[5503]"/>
            <x15:cachedUniqueName index="51" name="[Database].[KEYNOTE #].&amp;[5601]"/>
            <x15:cachedUniqueName index="52" name="[Database].[KEYNOTE #].&amp;[5602]"/>
            <x15:cachedUniqueName index="53" name="[Database].[KEYNOTE #].&amp;[5603]"/>
            <x15:cachedUniqueName index="54" name="[Database].[KEYNOTE #].&amp;[5701]"/>
            <x15:cachedUniqueName index="55" name="[Database].[KEYNOTE #].&amp;[5702]"/>
            <x15:cachedUniqueName index="56" name="[Database].[KEYNOTE #].&amp;[5703]"/>
            <x15:cachedUniqueName index="57" name="[Database].[KEYNOTE #].&amp;[5704]"/>
            <x15:cachedUniqueName index="58" name="[Database].[KEYNOTE #].&amp;[5705]"/>
            <x15:cachedUniqueName index="59" name="[Database].[KEYNOTE #].&amp;[5706]"/>
            <x15:cachedUniqueName index="60" name="[Database].[KEYNOTE #].&amp;[601]"/>
            <x15:cachedUniqueName index="61" name="[Database].[KEYNOTE #].&amp;[602]"/>
            <x15:cachedUniqueName index="62" name="[Database].[KEYNOTE #].&amp;[603]"/>
            <x15:cachedUniqueName index="63" name="[Database].[KEYNOTE #].&amp;[701]"/>
            <x15:cachedUniqueName index="64" name="[Database].[KEYNOTE #].&amp;[702]"/>
            <x15:cachedUniqueName index="65" name="[Database].[KEYNOTE #].&amp;[703]"/>
            <x15:cachedUniqueName index="66" name="[Database].[KEYNOTE #].&amp;[7101]"/>
            <x15:cachedUniqueName index="67" name="[Database].[KEYNOTE #].&amp;[7102]"/>
            <x15:cachedUniqueName index="68" name="[Database].[KEYNOTE #].&amp;[7103]"/>
            <x15:cachedUniqueName index="69" name="[Database].[KEYNOTE #].&amp;[801]"/>
            <x15:cachedUniqueName index="70" name="[Database].[KEYNOTE #].&amp;[802]"/>
            <x15:cachedUniqueName index="71" name="[Database].[KEYNOTE #].&amp;[901]"/>
            <x15:cachedUniqueName index="72" name="[Database].[KEYNOTE #].&amp;[902]"/>
            <x15:cachedUniqueName index="73" name="[Database].[KEYNOTE #].&amp;[903]"/>
            <x15:cachedUniqueName index="74" name="[Database].[KEYNOTE #].&amp;[904]"/>
            <x15:cachedUniqueName index="75" name="[Database].[KEYNOTE #].&amp;[905]"/>
            <x15:cachedUniqueName index="76" name="[Database].[KEYNOTE #].&amp;[906]"/>
            <x15:cachedUniqueName index="77" name="[Database].[KEYNOTE #].&amp;[907]"/>
            <x15:cachedUniqueName index="78" name="[Database].[KEYNOTE #].&amp;[908]"/>
            <x15:cachedUniqueName index="79" name="[Database].[KEYNOTE #].&amp;[909]"/>
            <x15:cachedUniqueName index="80" name="[Database].[KEYNOTE #].&amp;[910]"/>
            <x15:cachedUniqueName index="81" name="[Database].[KEYNOTE #].&amp;[911]"/>
            <x15:cachedUniqueName index="82" name="[Database].[KEYNOTE #].&amp;[912]"/>
            <x15:cachedUniqueName index="83" name="[Database].[KEYNOTE #].&amp;[913]"/>
            <x15:cachedUniqueName index="84" name="[Database].[KEYNOTE #].&amp;[914]"/>
            <x15:cachedUniqueName index="85" name="[Database].[KEYNOTE #].&amp;[915]"/>
            <x15:cachedUniqueName index="86" name="[Database].[KEYNOTE #].&amp;[916]"/>
            <x15:cachedUniqueName index="87" name="[Database].[KEYNOTE #].&amp;[917]"/>
            <x15:cachedUniqueName index="88" name="[Database].[KEYNOTE #].&amp;[918]"/>
            <x15:cachedUniqueName index="89" name="[Database].[KEYNOTE #].&amp;[919]"/>
            <x15:cachedUniqueName index="90" name="[Database].[KEYNOTE #].&amp;[ACP-1]"/>
            <x15:cachedUniqueName index="91" name="[Database].[KEYNOTE #].&amp;[ACT-1]"/>
            <x15:cachedUniqueName index="92" name="[Database].[KEYNOTE #].&amp;[ACT-1A]"/>
            <x15:cachedUniqueName index="93" name="[Database].[KEYNOTE #].&amp;[ACT-1B]"/>
            <x15:cachedUniqueName index="94" name="[Database].[KEYNOTE #].&amp;[AT-1]"/>
            <x15:cachedUniqueName index="95" name="[Database].[KEYNOTE #].&amp;[B2010.20]"/>
            <x15:cachedUniqueName index="96" name="[Database].[KEYNOTE #].&amp;[B2020.30]"/>
            <x15:cachedUniqueName index="97" name="[Database].[KEYNOTE #].&amp;[BR-50]"/>
            <x15:cachedUniqueName index="98" name="[Database].[KEYNOTE #].&amp;[C1010.10]"/>
            <x15:cachedUniqueName index="99" name="[Database].[KEYNOTE #].&amp;[CMU-50]"/>
            <x15:cachedUniqueName index="100" name="[Database].[KEYNOTE #].&amp;[CNC-1]"/>
            <x15:cachedUniqueName index="101" name="[Database].[KEYNOTE #].&amp;[CNC-2]"/>
            <x15:cachedUniqueName index="102" name="[Database].[KEYNOTE #].&amp;[CNC-50]"/>
            <x15:cachedUniqueName index="103" name="[Database].[KEYNOTE #].&amp;[CNC-51]"/>
            <x15:cachedUniqueName index="104" name="[Database].[KEYNOTE #].&amp;[CPT-1]"/>
            <x15:cachedUniqueName index="105" name="[Database].[KEYNOTE #].&amp;[CPT-2]"/>
            <x15:cachedUniqueName index="106" name="[Database].[KEYNOTE #].&amp;[CST-50]"/>
            <x15:cachedUniqueName index="107" name="[Database].[KEYNOTE #].&amp;[CTG-1]"/>
            <x15:cachedUniqueName index="108" name="[Database].[KEYNOTE #].&amp;[CW-50]"/>
            <x15:cachedUniqueName index="109" name="[Database].[KEYNOTE #].&amp;[DRO-1]"/>
            <x15:cachedUniqueName index="110" name="[Database].[KEYNOTE #].&amp;[EJ-1]"/>
            <x15:cachedUniqueName index="111" name="[Database].[KEYNOTE #].&amp;[EJ-50]"/>
            <x15:cachedUniqueName index="112" name="[Database].[KEYNOTE #].&amp;[EM-50]"/>
            <x15:cachedUniqueName index="113" name="[Database].[KEYNOTE #].&amp;[FCP-1]"/>
            <x15:cachedUniqueName index="114" name="[Database].[KEYNOTE #].&amp;[FE-1]"/>
            <x15:cachedUniqueName index="115" name="[Database].[KEYNOTE #].&amp;[FRC-1]"/>
            <x15:cachedUniqueName index="116" name="[Database].[KEYNOTE #].&amp;[FRC-2]"/>
            <x15:cachedUniqueName index="117" name="[Database].[KEYNOTE #].&amp;[FRP-1]"/>
            <x15:cachedUniqueName index="118" name="[Database].[KEYNOTE #].&amp;[FWP-1]"/>
            <x15:cachedUniqueName index="119" name="[Database].[KEYNOTE #].&amp;[GFC-50]"/>
            <x15:cachedUniqueName index="120" name="[Database].[KEYNOTE #].&amp;[GL-1]"/>
            <x15:cachedUniqueName index="121" name="[Database].[KEYNOTE #].&amp;[GL-2]"/>
            <x15:cachedUniqueName index="122" name="[Database].[KEYNOTE #].&amp;[GL-3]"/>
            <x15:cachedUniqueName index="123" name="[Database].[KEYNOTE #].&amp;[GL-4]"/>
            <x15:cachedUniqueName index="124" name="[Database].[KEYNOTE #].&amp;[GL-5]"/>
            <x15:cachedUniqueName index="125" name="[Database].[KEYNOTE #].&amp;[GL-50]"/>
            <x15:cachedUniqueName index="126" name="[Database].[KEYNOTE #].&amp;[GL-51]"/>
            <x15:cachedUniqueName index="127" name="[Database].[KEYNOTE #].&amp;[GL-6]"/>
            <x15:cachedUniqueName index="128" name="[Database].[KEYNOTE #].&amp;[GRT-50]"/>
            <x15:cachedUniqueName index="129" name="[Database].[KEYNOTE #].&amp;[GWB-1]"/>
            <x15:cachedUniqueName index="130" name="[Database].[KEYNOTE #].&amp;[GWB-1A]"/>
            <x15:cachedUniqueName index="131" name="[Database].[KEYNOTE #].&amp;[GWB-1B]"/>
            <x15:cachedUniqueName index="132" name="[Database].[KEYNOTE #].&amp;[GWB-50]"/>
            <x15:cachedUniqueName index="133" name="[Database].[KEYNOTE #].&amp;[LVR-50]"/>
            <x15:cachedUniqueName index="134" name="[Database].[KEYNOTE #].&amp;[MB-1]"/>
            <x15:cachedUniqueName index="135" name="[Database].[KEYNOTE #].&amp;[MBP-1]"/>
            <x15:cachedUniqueName index="136" name="[Database].[KEYNOTE #].&amp;[MCP-1]"/>
            <x15:cachedUniqueName index="137" name="[Database].[KEYNOTE #].&amp;[MCP-1A]"/>
            <x15:cachedUniqueName index="138" name="[Database].[KEYNOTE #].&amp;[MCP-1B]"/>
            <x15:cachedUniqueName index="139" name="[Database].[KEYNOTE #].&amp;[MCP-2]"/>
            <x15:cachedUniqueName index="140" name="[Database].[KEYNOTE #].&amp;[MCP-2A]"/>
            <x15:cachedUniqueName index="141" name="[Database].[KEYNOTE #].&amp;[MCP-2B]"/>
            <x15:cachedUniqueName index="142" name="[Database].[KEYNOTE #].&amp;[MCP-3]"/>
            <x15:cachedUniqueName index="143" name="[Database].[KEYNOTE #].&amp;[MCP-3A]"/>
            <x15:cachedUniqueName index="144" name="[Database].[KEYNOTE #].&amp;[MCP-3B]"/>
            <x15:cachedUniqueName index="145" name="[Database].[KEYNOTE #].&amp;[MCP-4A]"/>
            <x15:cachedUniqueName index="146" name="[Database].[KEYNOTE #].&amp;[MCP-4B]"/>
            <x15:cachedUniqueName index="147" name="[Database].[KEYNOTE #].&amp;[MF-50]"/>
            <x15:cachedUniqueName index="148" name="[Database].[KEYNOTE #].&amp;[MP-50]"/>
            <x15:cachedUniqueName index="149" name="[Database].[KEYNOTE #].&amp;[MTL-1]"/>
            <x15:cachedUniqueName index="150" name="[Database].[KEYNOTE #].&amp;[MTL-2]"/>
            <x15:cachedUniqueName index="151" name="[Database].[KEYNOTE #].&amp;[MTL-3]"/>
            <x15:cachedUniqueName index="152" name="[Database].[KEYNOTE #].&amp;[MTL-4]"/>
            <x15:cachedUniqueName index="153" name="[Database].[KEYNOTE #].&amp;[MTL-50]"/>
            <x15:cachedUniqueName index="154" name="[Database].[KEYNOTE #].&amp;[PCC-50]"/>
            <x15:cachedUniqueName index="155" name="[Database].[KEYNOTE #].&amp;[PCC-51]"/>
            <x15:cachedUniqueName index="156" name="[Database].[KEYNOTE #].&amp;[PLM-1]"/>
            <x15:cachedUniqueName index="157" name="[Database].[KEYNOTE #].&amp;[PLR-1]"/>
            <x15:cachedUniqueName index="158" name="[Database].[KEYNOTE #].&amp;[PS-1]"/>
            <x15:cachedUniqueName index="159" name="[Database].[KEYNOTE #].&amp;[PT-1]"/>
            <x15:cachedUniqueName index="160" name="[Database].[KEYNOTE #].&amp;[RB-1]"/>
            <x15:cachedUniqueName index="161" name="[Database].[KEYNOTE #].&amp;[RF-1]"/>
            <x15:cachedUniqueName index="162" name="[Database].[KEYNOTE #].&amp;[RFG-50]"/>
            <x15:cachedUniqueName index="163" name="[Database].[KEYNOTE #].&amp;[RFG-51]"/>
            <x15:cachedUniqueName index="164" name="[Database].[KEYNOTE #].&amp;[RLG-50]"/>
            <x15:cachedUniqueName index="165" name="[Database].[KEYNOTE #].&amp;[RLG-51]"/>
            <x15:cachedUniqueName index="166" name="[Database].[KEYNOTE #].&amp;[RLG-52]"/>
            <x15:cachedUniqueName index="167" name="[Database].[KEYNOTE #].&amp;[RS-1]"/>
            <x15:cachedUniqueName index="168" name="[Database].[KEYNOTE #].&amp;[RSF-1]"/>
            <x15:cachedUniqueName index="169" name="[Database].[KEYNOTE #].&amp;[SAT-1]"/>
            <x15:cachedUniqueName index="170" name="[Database].[KEYNOTE #].&amp;[SF-1]"/>
            <x15:cachedUniqueName index="171" name="[Database].[KEYNOTE #].&amp;[SSC-1]"/>
            <x15:cachedUniqueName index="172" name="[Database].[KEYNOTE #].&amp;[ST-2]"/>
            <x15:cachedUniqueName index="173" name="[Database].[KEYNOTE #].&amp;[ST-50]"/>
            <x15:cachedUniqueName index="174" name="[Database].[KEYNOTE #].&amp;[STC-1]"/>
            <x15:cachedUniqueName index="175" name="[Database].[KEYNOTE #].&amp;[STC-50]"/>
            <x15:cachedUniqueName index="176" name="[Database].[KEYNOTE #].&amp;[STD-1]"/>
            <x15:cachedUniqueName index="177" name="[Database].[KEYNOTE #].&amp;[STF-1]"/>
            <x15:cachedUniqueName index="178" name="[Database].[KEYNOTE #].&amp;[STF-2]"/>
            <x15:cachedUniqueName index="179" name="[Database].[KEYNOTE #].&amp;[STO-1]"/>
            <x15:cachedUniqueName index="180" name="[Database].[KEYNOTE #].&amp;[TA-1]"/>
            <x15:cachedUniqueName index="181" name="[Database].[KEYNOTE #].&amp;[TB-1]"/>
            <x15:cachedUniqueName index="182" name="[Database].[KEYNOTE #].&amp;[TC-50]"/>
            <x15:cachedUniqueName index="183" name="[Database].[KEYNOTE #].&amp;[TL-1]"/>
            <x15:cachedUniqueName index="184" name="[Database].[KEYNOTE #].&amp;[TL-2]"/>
            <x15:cachedUniqueName index="185" name="[Database].[KEYNOTE #].&amp;[TP-1]"/>
            <x15:cachedUniqueName index="186" name="[Database].[KEYNOTE #].&amp;[TZ-1]"/>
            <x15:cachedUniqueName index="187" name="[Database].[KEYNOTE #].&amp;[TZ-2]"/>
            <x15:cachedUniqueName index="188" name="[Database].[KEYNOTE #].&amp;[WB-1]"/>
            <x15:cachedUniqueName index="189" name="[Database].[KEYNOTE #].&amp;[WC-1]"/>
            <x15:cachedUniqueName index="190" name="[Database].[KEYNOTE #].&amp;[WCP-1]"/>
            <x15:cachedUniqueName index="191" name="[Database].[KEYNOTE #].&amp;[WCP-1A]"/>
            <x15:cachedUniqueName index="192" name="[Database].[KEYNOTE #].&amp;[WCP-1B]"/>
            <x15:cachedUniqueName index="193" name="[Database].[KEYNOTE #].&amp;[WCP-2]"/>
            <x15:cachedUniqueName index="194" name="[Database].[KEYNOTE #].&amp;[WCP-2A]"/>
            <x15:cachedUniqueName index="195" name="[Database].[KEYNOTE #].&amp;[WCP-2B]"/>
            <x15:cachedUniqueName index="196" name="[Database].[KEYNOTE #].&amp;[WD-1]"/>
            <x15:cachedUniqueName index="197" name="[Database].[KEYNOTE #].&amp;[WDF-1]"/>
            <x15:cachedUniqueName index="198" name="[Database].[KEYNOTE #].&amp;[WDF-2]"/>
            <x15:cachedUniqueName index="199" name="[Database].[KEYNOTE #].&amp;[WDS-1]"/>
            <x15:cachedUniqueName index="200" name="[Database].[KEYNOTE #].&amp;[WG-2]"/>
            <x15:cachedUniqueName index="201" name="[Database].[KEYNOTE #].&amp;[WP-50]"/>
            <x15:cachedUniqueName index="202" name="[Database].[KEYNOTE #].&amp;[WV-1]"/>
          </x15:cachedUniqueNames>
        </ext>
      </extLst>
    </cacheField>
    <cacheField name="[Measures].[REP_KEYNOTEDESC]" caption="REP_KEYNOTEDESC" numFmtId="0" hierarchy="40" level="32767"/>
    <cacheField name="[Measures].[REP_KEYTIER2]" caption="REP_KEYTIER2" numFmtId="0" hierarchy="39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0" memberValueDatatype="130" unbalanced="0"/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0" memberValueDatatype="130" unbalanced="0"/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/>
    <cacheHierarchy uniqueName="[Measures].[REP_KEYTIER2DESC]" caption="REP_KEYTIER2DESC" measure="1" displayFolder="" measureGroup="Database" count="0"/>
    <cacheHierarchy uniqueName="[Measures].[REP_KEYTIER1]" caption="REP_KEYTIER1" measure="1" displayFolder="" measureGroup="Database" count="0"/>
    <cacheHierarchy uniqueName="[Measures].[REP_KEYTIER2]" caption="REP_KEYTIER2" measure="1" displayFolder="" measureGroup="Database" count="0" oneField="1">
      <fieldsUsage count="1">
        <fieldUsage x="2"/>
      </fieldsUsage>
    </cacheHierarchy>
    <cacheHierarchy uniqueName="[Measures].[REP_KEYNOTEDESC]" caption="REP_KEYNOTEDESC" measure="1" displayFolder="" measureGroup="Database" count="0" oneField="1">
      <fieldsUsage count="1">
        <fieldUsage x="1"/>
      </fieldsUsage>
    </cacheHierarchy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6157409" backgroundQuery="1" createdVersion="6" refreshedVersion="8" minRefreshableVersion="3" recordCount="0" supportSubquery="1" supportAdvancedDrill="1" xr:uid="{CFF0D6A7-1896-4B0D-9A7A-9BE1181552BC}">
  <cacheSource type="external" connectionId="1"/>
  <cacheFields count="2">
    <cacheField name="[Database].[KEYTIER1].[KEYTIER1]" caption="KEYTIER1" numFmtId="0" hierarchy="32" level="1">
      <sharedItems count="12">
        <s v="10"/>
        <s v="12"/>
        <s v="3"/>
        <s v="5"/>
        <s v="7"/>
        <s v="9"/>
        <s v="ARCH NOTES"/>
        <s v="B"/>
        <s v="C"/>
        <s v="EXTERIOR"/>
        <s v="INTERIOR"/>
        <s v="SYSTEM NOTES"/>
      </sharedItems>
      <extLst>
        <ext xmlns:x15="http://schemas.microsoft.com/office/spreadsheetml/2010/11/main" uri="{4F2E5C28-24EA-4eb8-9CBF-B6C8F9C3D259}">
          <x15:cachedUniqueNames>
            <x15:cachedUniqueName index="0" name="[Database].[KEYTIER1].&amp;[10]"/>
            <x15:cachedUniqueName index="1" name="[Database].[KEYTIER1].&amp;[12]"/>
            <x15:cachedUniqueName index="2" name="[Database].[KEYTIER1].&amp;[3]"/>
            <x15:cachedUniqueName index="3" name="[Database].[KEYTIER1].&amp;[5]"/>
            <x15:cachedUniqueName index="4" name="[Database].[KEYTIER1].&amp;[7]"/>
            <x15:cachedUniqueName index="5" name="[Database].[KEYTIER1].&amp;[9]"/>
            <x15:cachedUniqueName index="6" name="[Database].[KEYTIER1].&amp;[ARCH NOTES]"/>
            <x15:cachedUniqueName index="7" name="[Database].[KEYTIER1].&amp;[B]"/>
            <x15:cachedUniqueName index="8" name="[Database].[KEYTIER1].&amp;[C]"/>
            <x15:cachedUniqueName index="9" name="[Database].[KEYTIER1].&amp;[EXTERIOR]"/>
            <x15:cachedUniqueName index="10" name="[Database].[KEYTIER1].&amp;[INTERIOR]"/>
            <x15:cachedUniqueName index="11" name="[Database].[KEYTIER1].&amp;[SYSTEM NOTES]"/>
          </x15:cachedUniqueNames>
        </ext>
      </extLst>
    </cacheField>
    <cacheField name="[Measures].[REP_KEYTIER1DESC]" caption="REP_KEYTIER1DESC" numFmtId="0" hierarchy="36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0" memberValueDatatype="130" unbalanced="0"/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0" memberValueDatatype="130" unbalanced="0"/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 oneField="1">
      <fieldsUsage count="1">
        <fieldUsage x="1"/>
      </fieldsUsage>
    </cacheHierarchy>
    <cacheHierarchy uniqueName="[Measures].[REP_KEYTIER2DESC]" caption="REP_KEYTIER2DESC" measure="1" displayFolder="" measureGroup="Database" count="0"/>
    <cacheHierarchy uniqueName="[Measures].[REP_KEYTIER1]" caption="REP_KEYTIER1" measure="1" displayFolder="" measureGroup="Database" count="0"/>
    <cacheHierarchy uniqueName="[Measures].[REP_KEYTIER2]" caption="REP_KEYTIER2" measure="1" displayFolder="" measureGroup="Database" count="0"/>
    <cacheHierarchy uniqueName="[Measures].[REP_KEYNOTEDESC]" caption="REP_KEYNOTEDESC" measure="1" displayFolder="" measureGroup="Database" count="0"/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7083332" backgroundQuery="1" createdVersion="6" refreshedVersion="8" minRefreshableVersion="3" recordCount="0" supportSubquery="1" supportAdvancedDrill="1" xr:uid="{81FAB968-8B21-4112-947B-E942477CDE81}">
  <cacheSource type="external" connectionId="1"/>
  <cacheFields count="3">
    <cacheField name="[Database].[KEYTIER2].[KEYTIER2]" caption="KEYTIER2" numFmtId="0" hierarchy="34" level="1">
      <sharedItems count="43">
        <s v="101123"/>
        <s v="101423"/>
        <s v="102100"/>
        <s v="102800"/>
        <s v="104413"/>
        <s v="122200"/>
        <s v="122413"/>
        <s v="33300"/>
        <s v="55000"/>
        <s v="71413"/>
        <s v="74213"/>
        <s v="79500"/>
        <s v="92216"/>
        <s v="92900"/>
        <s v="AV"/>
        <s v="B20"/>
        <s v="C10"/>
        <s v="CASEWORK/MILLWORK"/>
        <s v="COMM"/>
        <s v="CURTAINWALL"/>
        <s v="DETAIL ITEMS"/>
        <s v="DOORS"/>
        <s v="ELECTRICAL"/>
        <s v="ELEVATORS"/>
        <s v="EQUIPMENT"/>
        <s v="EXT"/>
        <s v="FIRE PROTECTION"/>
        <s v="FLOORS"/>
        <s v="FURNITURE"/>
        <s v="GENERAL ANNOTATIONS"/>
        <s v="INT"/>
        <s v="LAB"/>
        <s v="LIGHTING"/>
        <s v="MECHANICAL"/>
        <s v="PLUMBING"/>
        <s v="RAMPS"/>
        <s v="ROOFS"/>
        <s v="SITE"/>
        <s v="STAIRS"/>
        <s v="STRUCTURAL"/>
        <s v="TOILET ACCESSORIES"/>
        <s v="WALLS"/>
        <s v="WINDOWS"/>
      </sharedItems>
      <extLst>
        <ext xmlns:x15="http://schemas.microsoft.com/office/spreadsheetml/2010/11/main" uri="{4F2E5C28-24EA-4eb8-9CBF-B6C8F9C3D259}">
          <x15:cachedUniqueNames>
            <x15:cachedUniqueName index="0" name="[Database].[KEYTIER2].&amp;[101123]"/>
            <x15:cachedUniqueName index="1" name="[Database].[KEYTIER2].&amp;[101423]"/>
            <x15:cachedUniqueName index="2" name="[Database].[KEYTIER2].&amp;[102100]"/>
            <x15:cachedUniqueName index="3" name="[Database].[KEYTIER2].&amp;[102800]"/>
            <x15:cachedUniqueName index="4" name="[Database].[KEYTIER2].&amp;[104413]"/>
            <x15:cachedUniqueName index="5" name="[Database].[KEYTIER2].&amp;[122200]"/>
            <x15:cachedUniqueName index="6" name="[Database].[KEYTIER2].&amp;[122413]"/>
            <x15:cachedUniqueName index="7" name="[Database].[KEYTIER2].&amp;[33300]"/>
            <x15:cachedUniqueName index="8" name="[Database].[KEYTIER2].&amp;[55000]"/>
            <x15:cachedUniqueName index="9" name="[Database].[KEYTIER2].&amp;[71413]"/>
            <x15:cachedUniqueName index="10" name="[Database].[KEYTIER2].&amp;[74213]"/>
            <x15:cachedUniqueName index="11" name="[Database].[KEYTIER2].&amp;[79500]"/>
            <x15:cachedUniqueName index="12" name="[Database].[KEYTIER2].&amp;[92216]"/>
            <x15:cachedUniqueName index="13" name="[Database].[KEYTIER2].&amp;[92900]"/>
            <x15:cachedUniqueName index="14" name="[Database].[KEYTIER2].&amp;[AV]"/>
            <x15:cachedUniqueName index="15" name="[Database].[KEYTIER2].&amp;[B20]"/>
            <x15:cachedUniqueName index="16" name="[Database].[KEYTIER2].&amp;[C10]"/>
            <x15:cachedUniqueName index="17" name="[Database].[KEYTIER2].&amp;[CASEWORK/MILLWORK]"/>
            <x15:cachedUniqueName index="18" name="[Database].[KEYTIER2].&amp;[COMM]"/>
            <x15:cachedUniqueName index="19" name="[Database].[KEYTIER2].&amp;[CURTAINWALL]"/>
            <x15:cachedUniqueName index="20" name="[Database].[KEYTIER2].&amp;[DETAIL ITEMS]"/>
            <x15:cachedUniqueName index="21" name="[Database].[KEYTIER2].&amp;[DOORS]"/>
            <x15:cachedUniqueName index="22" name="[Database].[KEYTIER2].&amp;[ELECTRICAL]"/>
            <x15:cachedUniqueName index="23" name="[Database].[KEYTIER2].&amp;[ELEVATORS]"/>
            <x15:cachedUniqueName index="24" name="[Database].[KEYTIER2].&amp;[EQUIPMENT]"/>
            <x15:cachedUniqueName index="25" name="[Database].[KEYTIER2].&amp;[EXT]"/>
            <x15:cachedUniqueName index="26" name="[Database].[KEYTIER2].&amp;[FIRE PROTECTION]"/>
            <x15:cachedUniqueName index="27" name="[Database].[KEYTIER2].&amp;[FLOORS]"/>
            <x15:cachedUniqueName index="28" name="[Database].[KEYTIER2].&amp;[FURNITURE]"/>
            <x15:cachedUniqueName index="29" name="[Database].[KEYTIER2].&amp;[GENERAL ANNOTATIONS]"/>
            <x15:cachedUniqueName index="30" name="[Database].[KEYTIER2].&amp;[INT]"/>
            <x15:cachedUniqueName index="31" name="[Database].[KEYTIER2].&amp;[LAB]"/>
            <x15:cachedUniqueName index="32" name="[Database].[KEYTIER2].&amp;[LIGHTING]"/>
            <x15:cachedUniqueName index="33" name="[Database].[KEYTIER2].&amp;[MECHANICAL]"/>
            <x15:cachedUniqueName index="34" name="[Database].[KEYTIER2].&amp;[PLUMBING]"/>
            <x15:cachedUniqueName index="35" name="[Database].[KEYTIER2].&amp;[RAMPS]"/>
            <x15:cachedUniqueName index="36" name="[Database].[KEYTIER2].&amp;[ROOFS]"/>
            <x15:cachedUniqueName index="37" name="[Database].[KEYTIER2].&amp;[SITE]"/>
            <x15:cachedUniqueName index="38" name="[Database].[KEYTIER2].&amp;[STAIRS]"/>
            <x15:cachedUniqueName index="39" name="[Database].[KEYTIER2].&amp;[STRUCTURAL]"/>
            <x15:cachedUniqueName index="40" name="[Database].[KEYTIER2].&amp;[TOILET ACCESSORIES]"/>
            <x15:cachedUniqueName index="41" name="[Database].[KEYTIER2].&amp;[WALLS]"/>
            <x15:cachedUniqueName index="42" name="[Database].[KEYTIER2].&amp;[WINDOWS]"/>
          </x15:cachedUniqueNames>
        </ext>
      </extLst>
    </cacheField>
    <cacheField name="[Measures].[REP_KEYTIER2DESC]" caption="REP_KEYTIER2DESC" numFmtId="0" hierarchy="37" level="32767"/>
    <cacheField name="[Measures].[REP_KEYTIER1]" caption="REP_KEYTIER1" numFmtId="0" hierarchy="38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0" memberValueDatatype="130" unbalanced="0"/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0" memberValueDatatype="130" unbalanced="0"/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/>
    <cacheHierarchy uniqueName="[Measures].[REP_KEYTIER2DESC]" caption="REP_KEYTIER2DESC" measure="1" displayFolder="" measureGroup="Database" count="0" oneField="1">
      <fieldsUsage count="1">
        <fieldUsage x="1"/>
      </fieldsUsage>
    </cacheHierarchy>
    <cacheHierarchy uniqueName="[Measures].[REP_KEYTIER1]" caption="REP_KEYTIER1" measure="1" displayFolder="" measureGroup="Database" count="0" oneField="1">
      <fieldsUsage count="1">
        <fieldUsage x="2"/>
      </fieldsUsage>
    </cacheHierarchy>
    <cacheHierarchy uniqueName="[Measures].[REP_KEYTIER2]" caption="REP_KEYTIER2" measure="1" displayFolder="" measureGroup="Database" count="0"/>
    <cacheHierarchy uniqueName="[Measures].[REP_KEYNOTEDESC]" caption="REP_KEYNOTEDESC" measure="1" displayFolder="" measureGroup="Database" count="0"/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678A6-0265-4E42-840D-D5D6EA1C8E55}" name="KeyTier1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1:B13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fld="1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6D8064-BE81-4973-8EA4-05F2B5EE598C}" name="KeyTier3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500:C703" firstHeaderRow="0" firstDataRow="1" firstDataCol="1"/>
  <pivotFields count="3">
    <pivotField axis="axisRow" allDrilled="1" subtotalTop="0" showAll="0" dataSourceSort="1" defaultSubtotal="0" defaultAttributeDrillState="1">
      <items count="2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B18F78-8D9F-484B-8822-C14D236500A8}" name="KeyTier2" cacheId="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125:C168" firstHeaderRow="0" firstDataRow="1" firstDataCol="1"/>
  <pivotFields count="3">
    <pivotField axis="axisRow" allDrilled="1" subtotalTop="0" showAll="0" dataSourceSort="1" defaultSubtotal="0" defaultAttributeDrillState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EA622-272B-4E3A-9EF5-695616694DBA}" name="Database" displayName="Database" ref="B2:AK205" totalsRowShown="0" headerRowDxfId="45" dataDxfId="44">
  <autoFilter ref="B2:AK205" xr:uid="{57AEA622-272B-4E3A-9EF5-695616694DBA}"/>
  <sortState xmlns:xlrd2="http://schemas.microsoft.com/office/spreadsheetml/2017/richdata2" ref="B3:AK205">
    <sortCondition ref="B3:B205"/>
    <sortCondition ref="C3:C205"/>
    <sortCondition ref="E3:E205"/>
    <sortCondition ref="AD3:AD205"/>
    <sortCondition ref="AE3:AE205"/>
    <sortCondition ref="AF3:AF205"/>
  </sortState>
  <tableColumns count="36">
    <tableColumn id="18" xr3:uid="{39319871-DF89-4CA1-A14A-0D9A4CE4EF2D}" name="FORMAT" dataDxfId="43"/>
    <tableColumn id="1" xr3:uid="{3B26BA23-43D4-4A66-A579-3773662353C7}" name="DIVISION #" dataDxfId="42"/>
    <tableColumn id="2" xr3:uid="{1A9CB0A0-9FD5-489C-BF82-0EED99A7F298}" name="DIVISION NAME" dataDxfId="41"/>
    <tableColumn id="3" xr3:uid="{275D4B37-3740-48A7-A308-7D42353118C1}" name="SECTION #" dataDxfId="40"/>
    <tableColumn id="4" xr3:uid="{CF9A6218-309F-453C-8A53-4E7719906639}" name="SECTION NAME" dataDxfId="39"/>
    <tableColumn id="5" xr3:uid="{F2554ADF-75DD-400F-A4C8-B8552BDB7DD7}" name="KEYNOTE #" dataDxfId="38"/>
    <tableColumn id="6" xr3:uid="{97C3A4D4-1F3C-4AD4-A34A-B2EBD10DEEBC}" name="KEYNOTE DESCRIPTION" dataDxfId="37"/>
    <tableColumn id="16" xr3:uid="{90538BCC-288E-40DE-B8DC-C61B306DED8B}" name="BASE" dataDxfId="36"/>
    <tableColumn id="27" xr3:uid="{6CE57CF6-D76B-4EB1-87B6-6BCCB7442444}" name="INT. WALL" dataDxfId="35"/>
    <tableColumn id="26" xr3:uid="{E6F28243-4AF5-416D-AF44-F21AE2052C4A}" name="CEILING" dataDxfId="34"/>
    <tableColumn id="24" xr3:uid="{45401372-949D-4330-8E65-FEF08C82AF8A}" name="FLOOR" dataDxfId="33"/>
    <tableColumn id="28" xr3:uid="{3C6EE270-65B7-4B18-A18E-7C2A5B1A50C9}" name="MILLWORK" dataDxfId="32"/>
    <tableColumn id="29" xr3:uid="{17857865-9759-4745-B1AC-DD12DDBFE9F1}" name="INT. OTHER" dataDxfId="31"/>
    <tableColumn id="17" xr3:uid="{8FF0425B-4F6A-465F-A364-30C3190FF5B1}" name="ROOF" dataDxfId="30"/>
    <tableColumn id="30" xr3:uid="{E6EB22B5-D0F5-446E-A3E1-798F73D55B50}" name="EXT. WALL" dataDxfId="29"/>
    <tableColumn id="31" xr3:uid="{B65F65C3-0861-4A0D-B19C-C23DE8D31235}" name="FENESTRATION" dataDxfId="28"/>
    <tableColumn id="37" xr3:uid="{A10E81EA-430E-4A44-956B-A0B1945AF189}" name="SOFFIT" dataDxfId="27"/>
    <tableColumn id="36" xr3:uid="{95D9C418-CF13-4A31-9B5A-7BEB1894AB2E}" name="PAVING" dataDxfId="26"/>
    <tableColumn id="32" xr3:uid="{B0497182-D19B-43D7-AFA7-7DA87EECC7C9}" name="EXT. OTHER" dataDxfId="25"/>
    <tableColumn id="8" xr3:uid="{5C0C03ED-B11A-4A80-9704-64741C010E85}" name="SOURCE" dataDxfId="24"/>
    <tableColumn id="9" xr3:uid="{A78F32B1-3B60-417F-9D83-D77150904894}" name="PRODUCT" dataDxfId="23"/>
    <tableColumn id="10" xr3:uid="{E7702F09-D653-4849-BC30-B478E5F0DC92}" name="CAT. NO." dataDxfId="22"/>
    <tableColumn id="11" xr3:uid="{3B4421C2-5ACD-4125-8EB7-4139A3757EEC}" name="COLOR" dataDxfId="21"/>
    <tableColumn id="12" xr3:uid="{6C7FC401-AA90-485D-B0FC-BE481B4F80A5}" name="FINISH" dataDxfId="20"/>
    <tableColumn id="13" xr3:uid="{8D9C0907-C393-4B3E-813A-299AC73D46C7}" name="SIZE" dataDxfId="19"/>
    <tableColumn id="14" xr3:uid="{EB72F726-0644-41E2-963B-015150C05B5D}" name="CONTACT" dataDxfId="18"/>
    <tableColumn id="15" xr3:uid="{0E956903-AE9C-404D-8767-A3DFC123A79B}" name="REMARKS" dataDxfId="17"/>
    <tableColumn id="19" xr3:uid="{F472627A-899C-43B0-821E-F463B87C2121}" name="HELPER1" dataDxfId="16">
      <calculatedColumnFormula>IF(COUNTIF($C$3:C3,C3)=1,1,IF(COUNTIF($E$3:E3,E3)=1,2,0))</calculatedColumnFormula>
    </tableColumn>
    <tableColumn id="20" xr3:uid="{1AE2228F-8D7A-45FD-A24F-69B976599AE1}" name="KEYSORT1" dataDxfId="15">
      <calculatedColumnFormula>IF(ISNUMBER(SEARCH("-",Database[[#This Row],[KEYNOTE '#]])),LEFT(Database[[#This Row],[KEYNOTE '#]],FIND("-",Database[[#This Row],[KEYNOTE '#]])-1),Database[[#This Row],[KEYNOTE '#]])</calculatedColumnFormula>
    </tableColumn>
    <tableColumn id="21" xr3:uid="{3A511CB4-8B4F-447A-A7B9-5DC4B1BDEB85}" name="KEYSORT2" dataDxfId="14">
      <calculatedColumnFormula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calculatedColumnFormula>
    </tableColumn>
    <tableColumn id="22" xr3:uid="{04AABC11-9AF8-449A-A574-0CA2A6A3F81F}" name="KEYSORT3" dataDxfId="13">
      <calculatedColumnFormula>IF(AND(ISNUMBER(SEARCH("-",Database[[#This Row],[KEYNOTE '#]]))=TRUE,ISNUMBER(--RIGHT(Database[[#This Row],[KEYNOTE '#]]))=FALSE),RIGHT(Database[[#This Row],[KEYNOTE '#]],1),"")</calculatedColumnFormula>
    </tableColumn>
    <tableColumn id="23" xr3:uid="{053C1197-2854-4C78-B42C-2FA00A0438EC}" name="TABLESORT" dataDxfId="12"/>
    <tableColumn id="7" xr3:uid="{2965ACC2-5A90-4FBC-9345-A4B1595B19E7}" name="KEYTIER1" dataDxfId="11">
      <calculatedColumnFormula>IF(COUNTIF(Database[[#This Row],[BASE]:[INT. OTHER]],"g"),"INTERIOR",IF(COUNTIF(Database[[#This Row],[ROOF]:[EXT. OTHER]],"n"),"EXTERIOR",Database[[#This Row],[DIVISION '#]]))</calculatedColumnFormula>
    </tableColumn>
    <tableColumn id="33" xr3:uid="{52212E1D-0A06-4ED7-BD96-037292129AEA}" name="KEYTIER1_DESC" dataDxfId="10">
      <calculatedColumnFormula>IF(OR(Database[[#This Row],[KEYTIER1]]="INTERIOR",Database[[#This Row],[KEYTIER1]]="EXTERIOR"),"",Database[[#This Row],[DIVISION NAME]])</calculatedColumnFormula>
    </tableColumn>
    <tableColumn id="34" xr3:uid="{1EA1742D-584F-4056-9C11-831EF7451864}" name="KEYTIER2" dataDxfId="9">
      <calculatedColumnFormula>IF(Database[[#This Row],[KEYTIER1]]="INTERIOR","INT",IF(Database[[#This Row],[KEYTIER1]]="EXTERIOR","EXT",Database[[#This Row],[SECTION '#]]))</calculatedColumnFormula>
    </tableColumn>
    <tableColumn id="35" xr3:uid="{AFAB4987-9394-4A73-8690-73D5FD1066DC}" name="KEYTIER2_DESC" dataDxfId="8">
      <calculatedColumnFormula>IF(OR(Database[[#This Row],[KEYTIER2]]="INT",Database[[#This Row],[KEYTIER2]]="EXT"),"",IF(Database[[#This Row],[SECTION NAME]]="","",Database[[#This Row],[SECTION NAME]]))</calculatedColumnFormula>
    </tableColumn>
  </tableColumns>
  <tableStyleInfo name="KeynoteDatabas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738AEF-3B53-4EEF-948B-D135E089075A}" name="IntCategories" displayName="IntCategories" ref="B10:D16" totalsRowShown="0" headerRowDxfId="7" dataDxfId="5" headerRowBorderDxfId="6" tableBorderDxfId="4" totalsRowBorderDxfId="3">
  <autoFilter ref="B10:D16" xr:uid="{777271AC-37B5-4400-97DC-F337F1F1227B}">
    <filterColumn colId="0" hiddenButton="1"/>
    <filterColumn colId="1" hiddenButton="1"/>
    <filterColumn colId="2" hiddenButton="1"/>
  </autoFilter>
  <tableColumns count="3">
    <tableColumn id="1" xr3:uid="{81DB444A-77B1-420D-B5E5-5645183B7331}" name="Order" dataDxfId="2"/>
    <tableColumn id="2" xr3:uid="{4651EA4F-9E65-41DD-BA71-57942DE0B76A}" name="Interior" dataDxfId="1"/>
    <tableColumn id="3" xr3:uid="{94280A94-0E54-44C8-88FB-C03CAB0E9700}" name="Exteri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i.ennead.com/toolbox/BIMManual_01/02.16.3_Keynoting.asp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4DA4B-C34D-4D4D-81C6-09F35198FE48}">
  <dimension ref="B2:B9"/>
  <sheetViews>
    <sheetView workbookViewId="0">
      <selection activeCell="J13" sqref="J13"/>
    </sheetView>
  </sheetViews>
  <sheetFormatPr defaultRowHeight="14.5" x14ac:dyDescent="0.35"/>
  <sheetData>
    <row r="2" spans="2:2" x14ac:dyDescent="0.35">
      <c r="B2" t="s">
        <v>578</v>
      </c>
    </row>
    <row r="5" spans="2:2" x14ac:dyDescent="0.35">
      <c r="B5" t="s">
        <v>579</v>
      </c>
    </row>
    <row r="7" spans="2:2" x14ac:dyDescent="0.35">
      <c r="B7" t="s">
        <v>580</v>
      </c>
    </row>
    <row r="9" spans="2:2" x14ac:dyDescent="0.35">
      <c r="B9" t="s">
        <v>581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78181-8A93-4C90-8774-65760B41B7CF}">
  <sheetPr codeName="Sheet2">
    <tabColor rgb="FF00B0F0"/>
    <pageSetUpPr fitToPage="1"/>
  </sheetPr>
  <dimension ref="A1:AK205"/>
  <sheetViews>
    <sheetView tabSelected="1" zoomScale="80" zoomScaleNormal="80" workbookViewId="0">
      <pane ySplit="2" topLeftCell="A3" activePane="bottomLeft" state="frozen"/>
      <selection pane="bottomLeft" activeCell="M6" sqref="M6"/>
    </sheetView>
  </sheetViews>
  <sheetFormatPr defaultColWidth="8.81640625" defaultRowHeight="14.5" outlineLevelCol="1" x14ac:dyDescent="0.35"/>
  <cols>
    <col min="1" max="1" width="8.81640625" style="3"/>
    <col min="2" max="2" width="17.54296875" style="1" customWidth="1"/>
    <col min="3" max="3" width="10.36328125" style="2" customWidth="1"/>
    <col min="4" max="4" width="24.453125" style="1" bestFit="1" customWidth="1"/>
    <col min="5" max="5" width="13.6328125" style="2" customWidth="1"/>
    <col min="6" max="6" width="45.08984375" style="1" customWidth="1"/>
    <col min="7" max="7" width="14.36328125" style="70" customWidth="1"/>
    <col min="8" max="8" width="60.1796875" style="1" customWidth="1"/>
    <col min="9" max="9" width="7.453125" style="65" customWidth="1" outlineLevel="1"/>
    <col min="10" max="14" width="7.453125" style="7" customWidth="1" outlineLevel="1"/>
    <col min="15" max="15" width="7.453125" style="65" customWidth="1" outlineLevel="1"/>
    <col min="16" max="20" width="7.453125" style="7" customWidth="1" outlineLevel="1"/>
    <col min="21" max="21" width="9.6328125" style="67" customWidth="1"/>
    <col min="22" max="22" width="11.08984375" style="1" customWidth="1"/>
    <col min="23" max="23" width="10.453125" style="1" customWidth="1"/>
    <col min="24" max="24" width="28.36328125" style="1" customWidth="1"/>
    <col min="25" max="25" width="8.453125" style="1" customWidth="1"/>
    <col min="26" max="26" width="6.453125" style="1" customWidth="1"/>
    <col min="27" max="27" width="20.36328125" style="1" customWidth="1"/>
    <col min="28" max="28" width="22.7265625" style="1" customWidth="1"/>
    <col min="29" max="29" width="7.54296875" style="7" customWidth="1"/>
    <col min="30" max="30" width="9.81640625" style="3" customWidth="1"/>
    <col min="31" max="31" width="8.54296875" style="3" customWidth="1"/>
    <col min="32" max="32" width="8.453125" style="3" customWidth="1"/>
    <col min="33" max="33" width="10" style="3" customWidth="1"/>
    <col min="34" max="34" width="6.36328125" style="3" customWidth="1"/>
    <col min="35" max="35" width="8" style="3" customWidth="1"/>
    <col min="36" max="36" width="8.26953125" style="3" customWidth="1"/>
    <col min="37" max="37" width="8.08984375" style="3" customWidth="1"/>
    <col min="38" max="16384" width="8.81640625" style="3"/>
  </cols>
  <sheetData>
    <row r="1" spans="1:37" x14ac:dyDescent="0.35">
      <c r="I1" s="74" t="s">
        <v>0</v>
      </c>
      <c r="J1" s="74"/>
      <c r="K1" s="74"/>
      <c r="L1" s="74"/>
      <c r="M1" s="74"/>
      <c r="N1" s="74"/>
      <c r="O1" s="75" t="s">
        <v>1</v>
      </c>
      <c r="P1" s="76"/>
      <c r="Q1" s="76"/>
      <c r="R1" s="76"/>
      <c r="S1" s="76"/>
      <c r="T1" s="76"/>
    </row>
    <row r="2" spans="1:37" s="1" customFormat="1" ht="29" x14ac:dyDescent="0.35">
      <c r="A2" s="73" t="s">
        <v>577</v>
      </c>
      <c r="B2" s="4" t="s">
        <v>2</v>
      </c>
      <c r="C2" s="5" t="s">
        <v>3</v>
      </c>
      <c r="D2" s="4" t="s">
        <v>4</v>
      </c>
      <c r="E2" s="5" t="s">
        <v>5</v>
      </c>
      <c r="F2" s="4" t="s">
        <v>6</v>
      </c>
      <c r="G2" s="71" t="s">
        <v>7</v>
      </c>
      <c r="H2" s="4" t="s">
        <v>8</v>
      </c>
      <c r="I2" s="63" t="s">
        <v>9</v>
      </c>
      <c r="J2" s="6" t="s">
        <v>10</v>
      </c>
      <c r="K2" s="6" t="s">
        <v>11</v>
      </c>
      <c r="L2" s="6" t="s">
        <v>12</v>
      </c>
      <c r="M2" s="6" t="s">
        <v>13</v>
      </c>
      <c r="N2" s="6" t="s">
        <v>14</v>
      </c>
      <c r="O2" s="63" t="s">
        <v>15</v>
      </c>
      <c r="P2" s="49" t="s">
        <v>16</v>
      </c>
      <c r="Q2" s="49" t="s">
        <v>17</v>
      </c>
      <c r="R2" s="49" t="s">
        <v>256</v>
      </c>
      <c r="S2" s="49" t="s">
        <v>257</v>
      </c>
      <c r="T2" s="49" t="s">
        <v>18</v>
      </c>
      <c r="U2" s="68" t="s">
        <v>19</v>
      </c>
      <c r="V2" s="4" t="s">
        <v>20</v>
      </c>
      <c r="W2" s="4" t="s">
        <v>21</v>
      </c>
      <c r="X2" s="4" t="s">
        <v>22</v>
      </c>
      <c r="Y2" s="4" t="s">
        <v>23</v>
      </c>
      <c r="Z2" s="4" t="s">
        <v>24</v>
      </c>
      <c r="AA2" s="4" t="s">
        <v>25</v>
      </c>
      <c r="AB2" s="4" t="s">
        <v>26</v>
      </c>
      <c r="AC2" s="36" t="s">
        <v>27</v>
      </c>
      <c r="AD2" s="4" t="s">
        <v>28</v>
      </c>
      <c r="AE2" s="4" t="s">
        <v>29</v>
      </c>
      <c r="AF2" s="4" t="s">
        <v>30</v>
      </c>
      <c r="AG2" s="4" t="s">
        <v>31</v>
      </c>
      <c r="AH2" s="4" t="s">
        <v>32</v>
      </c>
      <c r="AI2" s="4" t="s">
        <v>33</v>
      </c>
      <c r="AJ2" s="4" t="s">
        <v>34</v>
      </c>
      <c r="AK2" s="4" t="s">
        <v>35</v>
      </c>
    </row>
    <row r="3" spans="1:37" ht="29" x14ac:dyDescent="0.35">
      <c r="B3" s="50" t="s">
        <v>36</v>
      </c>
      <c r="C3" s="50">
        <v>3</v>
      </c>
      <c r="D3" s="50" t="s">
        <v>37</v>
      </c>
      <c r="E3" s="50">
        <v>33100</v>
      </c>
      <c r="F3" s="53" t="s">
        <v>265</v>
      </c>
      <c r="G3" s="72" t="s">
        <v>39</v>
      </c>
      <c r="H3" s="53" t="s">
        <v>266</v>
      </c>
      <c r="I3" s="64"/>
      <c r="J3" s="52"/>
      <c r="K3" s="52"/>
      <c r="L3" s="52"/>
      <c r="M3" s="52"/>
      <c r="N3" s="54"/>
      <c r="O3" s="66"/>
      <c r="P3" s="51"/>
      <c r="Q3" s="51"/>
      <c r="R3" s="51"/>
      <c r="S3" s="51"/>
      <c r="T3" s="55" t="s">
        <v>40</v>
      </c>
      <c r="U3" s="69"/>
      <c r="V3" s="50"/>
      <c r="W3" s="50"/>
      <c r="X3" s="50"/>
      <c r="Y3" s="50"/>
      <c r="Z3" s="50"/>
      <c r="AA3" s="50"/>
      <c r="AB3" s="50"/>
      <c r="AC3" s="50">
        <f>IF(COUNTIF($C$3:C3,C3)=1,1,IF(COUNTIF($E$3:E3,E3)=1,2,0))</f>
        <v>1</v>
      </c>
      <c r="AD3" s="50" t="str">
        <f>IF(ISNUMBER(SEARCH("-",Database[[#This Row],[KEYNOTE '#]])),LEFT(Database[[#This Row],[KEYNOTE '#]],FIND("-",Database[[#This Row],[KEYNOTE '#]])-1),Database[[#This Row],[KEYNOTE '#]])</f>
        <v>CNC</v>
      </c>
      <c r="AE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" s="50" t="str">
        <f>IF(AND(ISNUMBER(SEARCH("-",Database[[#This Row],[KEYNOTE '#]]))=TRUE,ISNUMBER(--RIGHT(Database[[#This Row],[KEYNOTE '#]]))=FALSE),RIGHT(Database[[#This Row],[KEYNOTE '#]],1),"")</f>
        <v/>
      </c>
      <c r="AG3" s="50">
        <v>1</v>
      </c>
      <c r="AH3" s="50" t="str">
        <f>IF(COUNTIF(Database[[#This Row],[BASE]:[INT. OTHER]],"g"),"INTERIOR",IF(COUNTIF(Database[[#This Row],[ROOF]:[EXT. OTHER]],"n"),"EXTERIOR",Database[[#This Row],[DIVISION '#]]))</f>
        <v>EXTERIOR</v>
      </c>
      <c r="AI3" s="50" t="str">
        <f>IF(OR(Database[[#This Row],[KEYTIER1]]="INTERIOR",Database[[#This Row],[KEYTIER1]]="EXTERIOR"),"",Database[[#This Row],[DIVISION NAME]])</f>
        <v/>
      </c>
      <c r="AJ3" s="50" t="str">
        <f>IF(Database[[#This Row],[KEYTIER1]]="INTERIOR","INT",IF(Database[[#This Row],[KEYTIER1]]="EXTERIOR","EXT",Database[[#This Row],[SECTION '#]]))</f>
        <v>EXT</v>
      </c>
      <c r="AK3" s="50" t="str">
        <f>IF(OR(Database[[#This Row],[KEYTIER2]]="INT",Database[[#This Row],[KEYTIER2]]="EXT"),"",IF(Database[[#This Row],[SECTION NAME]]="","",Database[[#This Row],[SECTION NAME]]))</f>
        <v/>
      </c>
    </row>
    <row r="4" spans="1:37" ht="29" x14ac:dyDescent="0.35">
      <c r="B4" s="50" t="s">
        <v>36</v>
      </c>
      <c r="C4" s="50">
        <v>3</v>
      </c>
      <c r="D4" s="50" t="s">
        <v>37</v>
      </c>
      <c r="E4" s="50">
        <v>33300</v>
      </c>
      <c r="F4" s="53" t="s">
        <v>267</v>
      </c>
      <c r="G4" s="72" t="s">
        <v>268</v>
      </c>
      <c r="H4" s="53" t="s">
        <v>269</v>
      </c>
      <c r="I4" s="64"/>
      <c r="J4" s="52"/>
      <c r="K4" s="52"/>
      <c r="L4" s="52" t="s">
        <v>38</v>
      </c>
      <c r="M4" s="52"/>
      <c r="N4" s="54"/>
      <c r="O4" s="66"/>
      <c r="P4" s="51"/>
      <c r="Q4" s="51"/>
      <c r="R4" s="51"/>
      <c r="S4" s="51"/>
      <c r="T4" s="55"/>
      <c r="U4" s="69"/>
      <c r="V4" s="50"/>
      <c r="W4" s="50"/>
      <c r="X4" s="50"/>
      <c r="Y4" s="50"/>
      <c r="Z4" s="50"/>
      <c r="AA4" s="50"/>
      <c r="AB4" s="50"/>
      <c r="AC4" s="50">
        <f>IF(COUNTIF($C$3:C4,C4)=1,1,IF(COUNTIF($E$3:E4,E4)=1,2,0))</f>
        <v>2</v>
      </c>
      <c r="AD4" s="50" t="str">
        <f>IF(ISNUMBER(SEARCH("-",Database[[#This Row],[KEYNOTE '#]])),LEFT(Database[[#This Row],[KEYNOTE '#]],FIND("-",Database[[#This Row],[KEYNOTE '#]])-1),Database[[#This Row],[KEYNOTE '#]])</f>
        <v>CNC</v>
      </c>
      <c r="AE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" s="50" t="str">
        <f>IF(AND(ISNUMBER(SEARCH("-",Database[[#This Row],[KEYNOTE '#]]))=TRUE,ISNUMBER(--RIGHT(Database[[#This Row],[KEYNOTE '#]]))=FALSE),RIGHT(Database[[#This Row],[KEYNOTE '#]],1),"")</f>
        <v/>
      </c>
      <c r="AG4" s="50">
        <v>2</v>
      </c>
      <c r="AH4" s="50" t="str">
        <f>IF(COUNTIF(Database[[#This Row],[BASE]:[INT. OTHER]],"g"),"INTERIOR",IF(COUNTIF(Database[[#This Row],[ROOF]:[EXT. OTHER]],"n"),"EXTERIOR",Database[[#This Row],[DIVISION '#]]))</f>
        <v>INTERIOR</v>
      </c>
      <c r="AI4" s="50" t="str">
        <f>IF(OR(Database[[#This Row],[KEYTIER1]]="INTERIOR",Database[[#This Row],[KEYTIER1]]="EXTERIOR"),"",Database[[#This Row],[DIVISION NAME]])</f>
        <v/>
      </c>
      <c r="AJ4" s="50" t="str">
        <f>IF(Database[[#This Row],[KEYTIER1]]="INTERIOR","INT",IF(Database[[#This Row],[KEYTIER1]]="EXTERIOR","EXT",Database[[#This Row],[SECTION '#]]))</f>
        <v>INT</v>
      </c>
      <c r="AK4" s="50" t="str">
        <f>IF(OR(Database[[#This Row],[KEYTIER2]]="INT",Database[[#This Row],[KEYTIER2]]="EXT"),"",IF(Database[[#This Row],[SECTION NAME]]="","",Database[[#This Row],[SECTION NAME]]))</f>
        <v/>
      </c>
    </row>
    <row r="5" spans="1:37" ht="29" x14ac:dyDescent="0.35">
      <c r="B5" s="50" t="s">
        <v>36</v>
      </c>
      <c r="C5" s="50">
        <v>3</v>
      </c>
      <c r="D5" s="50" t="s">
        <v>37</v>
      </c>
      <c r="E5" s="50">
        <v>33300</v>
      </c>
      <c r="F5" s="53" t="s">
        <v>267</v>
      </c>
      <c r="G5" s="72" t="s">
        <v>270</v>
      </c>
      <c r="H5" s="53" t="s">
        <v>271</v>
      </c>
      <c r="I5" s="64"/>
      <c r="J5" s="52"/>
      <c r="K5" s="52"/>
      <c r="L5" s="52" t="s">
        <v>38</v>
      </c>
      <c r="M5" s="52"/>
      <c r="N5" s="54"/>
      <c r="O5" s="66"/>
      <c r="P5" s="51"/>
      <c r="Q5" s="51"/>
      <c r="R5" s="51"/>
      <c r="S5" s="51"/>
      <c r="T5" s="55"/>
      <c r="U5" s="69"/>
      <c r="V5" s="50"/>
      <c r="W5" s="50"/>
      <c r="X5" s="50"/>
      <c r="Y5" s="50"/>
      <c r="Z5" s="50"/>
      <c r="AA5" s="50"/>
      <c r="AB5" s="50"/>
      <c r="AC5" s="50">
        <f>IF(COUNTIF($C$3:C5,C5)=1,1,IF(COUNTIF($E$3:E5,E5)=1,2,0))</f>
        <v>0</v>
      </c>
      <c r="AD5" s="50" t="str">
        <f>IF(ISNUMBER(SEARCH("-",Database[[#This Row],[KEYNOTE '#]])),LEFT(Database[[#This Row],[KEYNOTE '#]],FIND("-",Database[[#This Row],[KEYNOTE '#]])-1),Database[[#This Row],[KEYNOTE '#]])</f>
        <v>CNC</v>
      </c>
      <c r="AE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" s="50" t="str">
        <f>IF(AND(ISNUMBER(SEARCH("-",Database[[#This Row],[KEYNOTE '#]]))=TRUE,ISNUMBER(--RIGHT(Database[[#This Row],[KEYNOTE '#]]))=FALSE),RIGHT(Database[[#This Row],[KEYNOTE '#]],1),"")</f>
        <v/>
      </c>
      <c r="AG5" s="50">
        <v>3</v>
      </c>
      <c r="AH5" s="50" t="str">
        <f>IF(COUNTIF(Database[[#This Row],[BASE]:[INT. OTHER]],"g"),"INTERIOR",IF(COUNTIF(Database[[#This Row],[ROOF]:[EXT. OTHER]],"n"),"EXTERIOR",Database[[#This Row],[DIVISION '#]]))</f>
        <v>INTERIOR</v>
      </c>
      <c r="AI5" s="50" t="str">
        <f>IF(OR(Database[[#This Row],[KEYTIER1]]="INTERIOR",Database[[#This Row],[KEYTIER1]]="EXTERIOR"),"",Database[[#This Row],[DIVISION NAME]])</f>
        <v/>
      </c>
      <c r="AJ5" s="50" t="str">
        <f>IF(Database[[#This Row],[KEYTIER1]]="INTERIOR","INT",IF(Database[[#This Row],[KEYTIER1]]="EXTERIOR","EXT",Database[[#This Row],[SECTION '#]]))</f>
        <v>INT</v>
      </c>
      <c r="AK5" s="50" t="str">
        <f>IF(OR(Database[[#This Row],[KEYTIER2]]="INT",Database[[#This Row],[KEYTIER2]]="EXT"),"",IF(Database[[#This Row],[SECTION NAME]]="","",Database[[#This Row],[SECTION NAME]]))</f>
        <v/>
      </c>
    </row>
    <row r="6" spans="1:37" ht="29" x14ac:dyDescent="0.35">
      <c r="B6" s="50" t="s">
        <v>36</v>
      </c>
      <c r="C6" s="50">
        <v>3</v>
      </c>
      <c r="D6" s="50" t="s">
        <v>37</v>
      </c>
      <c r="E6" s="50">
        <v>33300</v>
      </c>
      <c r="F6" s="53" t="s">
        <v>267</v>
      </c>
      <c r="G6" s="72" t="s">
        <v>41</v>
      </c>
      <c r="H6" s="53" t="s">
        <v>269</v>
      </c>
      <c r="I6" s="64"/>
      <c r="J6" s="52"/>
      <c r="K6" s="52" t="s">
        <v>38</v>
      </c>
      <c r="L6" s="52"/>
      <c r="M6" s="52" t="s">
        <v>38</v>
      </c>
      <c r="N6" s="54"/>
      <c r="O6" s="66"/>
      <c r="P6" s="51" t="s">
        <v>40</v>
      </c>
      <c r="Q6" s="51"/>
      <c r="R6" s="51"/>
      <c r="S6" s="51"/>
      <c r="T6" s="55"/>
      <c r="U6" s="69"/>
      <c r="V6" s="50"/>
      <c r="W6" s="50"/>
      <c r="X6" s="50" t="s">
        <v>584</v>
      </c>
      <c r="Y6" s="50"/>
      <c r="Z6" s="50"/>
      <c r="AA6" s="50"/>
      <c r="AB6" s="50"/>
      <c r="AC6" s="50">
        <f>IF(COUNTIF($C$3:C6,C6)=1,1,IF(COUNTIF($E$3:E6,E6)=1,2,0))</f>
        <v>0</v>
      </c>
      <c r="AD6" s="50" t="str">
        <f>IF(ISNUMBER(SEARCH("-",Database[[#This Row],[KEYNOTE '#]])),LEFT(Database[[#This Row],[KEYNOTE '#]],FIND("-",Database[[#This Row],[KEYNOTE '#]])-1),Database[[#This Row],[KEYNOTE '#]])</f>
        <v>CNC</v>
      </c>
      <c r="AE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6" s="50" t="str">
        <f>IF(AND(ISNUMBER(SEARCH("-",Database[[#This Row],[KEYNOTE '#]]))=TRUE,ISNUMBER(--RIGHT(Database[[#This Row],[KEYNOTE '#]]))=FALSE),RIGHT(Database[[#This Row],[KEYNOTE '#]],1),"")</f>
        <v/>
      </c>
      <c r="AG6" s="50">
        <v>4</v>
      </c>
      <c r="AH6" s="50" t="str">
        <f>IF(COUNTIF(Database[[#This Row],[BASE]:[INT. OTHER]],"g"),"INTERIOR",IF(COUNTIF(Database[[#This Row],[ROOF]:[EXT. OTHER]],"n"),"EXTERIOR",Database[[#This Row],[DIVISION '#]]))</f>
        <v>INTERIOR</v>
      </c>
      <c r="AI6" s="50" t="str">
        <f>IF(OR(Database[[#This Row],[KEYTIER1]]="INTERIOR",Database[[#This Row],[KEYTIER1]]="EXTERIOR"),"",Database[[#This Row],[DIVISION NAME]])</f>
        <v/>
      </c>
      <c r="AJ6" s="50" t="str">
        <f>IF(Database[[#This Row],[KEYTIER1]]="INTERIOR","INT",IF(Database[[#This Row],[KEYTIER1]]="EXTERIOR","EXT",Database[[#This Row],[SECTION '#]]))</f>
        <v>INT</v>
      </c>
      <c r="AK6" s="50" t="str">
        <f>IF(OR(Database[[#This Row],[KEYTIER2]]="INT",Database[[#This Row],[KEYTIER2]]="EXT"),"",IF(Database[[#This Row],[SECTION NAME]]="","",Database[[#This Row],[SECTION NAME]]))</f>
        <v/>
      </c>
    </row>
    <row r="7" spans="1:37" ht="29" x14ac:dyDescent="0.35">
      <c r="B7" s="50" t="s">
        <v>36</v>
      </c>
      <c r="C7" s="50">
        <v>3</v>
      </c>
      <c r="D7" s="50" t="s">
        <v>37</v>
      </c>
      <c r="E7" s="50">
        <v>34000</v>
      </c>
      <c r="F7" s="53" t="s">
        <v>272</v>
      </c>
      <c r="G7" s="72" t="s">
        <v>42</v>
      </c>
      <c r="H7" s="53" t="s">
        <v>273</v>
      </c>
      <c r="I7" s="64"/>
      <c r="J7" s="52"/>
      <c r="K7" s="52"/>
      <c r="L7" s="52"/>
      <c r="M7" s="52"/>
      <c r="N7" s="54"/>
      <c r="O7" s="66"/>
      <c r="P7" s="51" t="s">
        <v>40</v>
      </c>
      <c r="Q7" s="51"/>
      <c r="R7" s="51"/>
      <c r="S7" s="51"/>
      <c r="T7" s="55"/>
      <c r="U7" s="69"/>
      <c r="V7" s="50"/>
      <c r="W7" s="50"/>
      <c r="X7" s="50"/>
      <c r="Y7" s="50"/>
      <c r="Z7" s="50"/>
      <c r="AA7" s="50"/>
      <c r="AB7" s="50"/>
      <c r="AC7" s="50">
        <f>IF(COUNTIF($C$3:C7,C7)=1,1,IF(COUNTIF($E$3:E7,E7)=1,2,0))</f>
        <v>2</v>
      </c>
      <c r="AD7" s="50" t="str">
        <f>IF(ISNUMBER(SEARCH("-",Database[[#This Row],[KEYNOTE '#]])),LEFT(Database[[#This Row],[KEYNOTE '#]],FIND("-",Database[[#This Row],[KEYNOTE '#]])-1),Database[[#This Row],[KEYNOTE '#]])</f>
        <v>PCC</v>
      </c>
      <c r="AE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7" s="50" t="str">
        <f>IF(AND(ISNUMBER(SEARCH("-",Database[[#This Row],[KEYNOTE '#]]))=TRUE,ISNUMBER(--RIGHT(Database[[#This Row],[KEYNOTE '#]]))=FALSE),RIGHT(Database[[#This Row],[KEYNOTE '#]],1),"")</f>
        <v/>
      </c>
      <c r="AG7" s="50">
        <v>5</v>
      </c>
      <c r="AH7" s="50" t="str">
        <f>IF(COUNTIF(Database[[#This Row],[BASE]:[INT. OTHER]],"g"),"INTERIOR",IF(COUNTIF(Database[[#This Row],[ROOF]:[EXT. OTHER]],"n"),"EXTERIOR",Database[[#This Row],[DIVISION '#]]))</f>
        <v>EXTERIOR</v>
      </c>
      <c r="AI7" s="50" t="str">
        <f>IF(OR(Database[[#This Row],[KEYTIER1]]="INTERIOR",Database[[#This Row],[KEYTIER1]]="EXTERIOR"),"",Database[[#This Row],[DIVISION NAME]])</f>
        <v/>
      </c>
      <c r="AJ7" s="50" t="str">
        <f>IF(Database[[#This Row],[KEYTIER1]]="INTERIOR","INT",IF(Database[[#This Row],[KEYTIER1]]="EXTERIOR","EXT",Database[[#This Row],[SECTION '#]]))</f>
        <v>EXT</v>
      </c>
      <c r="AK7" s="50" t="str">
        <f>IF(OR(Database[[#This Row],[KEYTIER2]]="INT",Database[[#This Row],[KEYTIER2]]="EXT"),"",IF(Database[[#This Row],[SECTION NAME]]="","",Database[[#This Row],[SECTION NAME]]))</f>
        <v/>
      </c>
    </row>
    <row r="8" spans="1:37" ht="29" x14ac:dyDescent="0.35">
      <c r="A8" s="3" t="s">
        <v>583</v>
      </c>
      <c r="B8" s="50" t="s">
        <v>36</v>
      </c>
      <c r="C8" s="50">
        <v>3</v>
      </c>
      <c r="D8" s="50" t="s">
        <v>37</v>
      </c>
      <c r="E8" s="50">
        <v>34000</v>
      </c>
      <c r="F8" s="53" t="s">
        <v>272</v>
      </c>
      <c r="G8" s="72" t="s">
        <v>274</v>
      </c>
      <c r="H8" s="53" t="s">
        <v>275</v>
      </c>
      <c r="I8" s="64"/>
      <c r="J8" s="52"/>
      <c r="K8" s="52" t="s">
        <v>38</v>
      </c>
      <c r="L8" s="52"/>
      <c r="M8" s="52"/>
      <c r="N8" s="54"/>
      <c r="O8" s="66"/>
      <c r="P8" s="51"/>
      <c r="Q8" s="51" t="s">
        <v>40</v>
      </c>
      <c r="R8" s="51"/>
      <c r="S8" s="51" t="s">
        <v>40</v>
      </c>
      <c r="T8" s="55"/>
      <c r="U8" s="69"/>
      <c r="V8" s="50"/>
      <c r="W8" s="50"/>
      <c r="X8" s="50" t="s">
        <v>582</v>
      </c>
      <c r="Y8" s="50"/>
      <c r="Z8" s="50"/>
      <c r="AA8" s="50"/>
      <c r="AB8" s="50"/>
      <c r="AC8" s="50">
        <f>IF(COUNTIF($C$3:C8,C8)=1,1,IF(COUNTIF($E$3:E8,E8)=1,2,0))</f>
        <v>0</v>
      </c>
      <c r="AD8" s="50" t="str">
        <f>IF(ISNUMBER(SEARCH("-",Database[[#This Row],[KEYNOTE '#]])),LEFT(Database[[#This Row],[KEYNOTE '#]],FIND("-",Database[[#This Row],[KEYNOTE '#]])-1),Database[[#This Row],[KEYNOTE '#]])</f>
        <v>PCC</v>
      </c>
      <c r="AE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8" s="50" t="str">
        <f>IF(AND(ISNUMBER(SEARCH("-",Database[[#This Row],[KEYNOTE '#]]))=TRUE,ISNUMBER(--RIGHT(Database[[#This Row],[KEYNOTE '#]]))=FALSE),RIGHT(Database[[#This Row],[KEYNOTE '#]],1),"")</f>
        <v/>
      </c>
      <c r="AG8" s="50">
        <v>6</v>
      </c>
      <c r="AH8" s="50" t="str">
        <f>IF(COUNTIF(Database[[#This Row],[BASE]:[INT. OTHER]],"g"),"INTERIOR",IF(COUNTIF(Database[[#This Row],[ROOF]:[EXT. OTHER]],"n"),"EXTERIOR",Database[[#This Row],[DIVISION '#]]))</f>
        <v>INTERIOR</v>
      </c>
      <c r="AI8" s="50" t="str">
        <f>IF(OR(Database[[#This Row],[KEYTIER1]]="INTERIOR",Database[[#This Row],[KEYTIER1]]="EXTERIOR"),"",Database[[#This Row],[DIVISION NAME]])</f>
        <v/>
      </c>
      <c r="AJ8" s="50" t="str">
        <f>IF(Database[[#This Row],[KEYTIER1]]="INTERIOR","INT",IF(Database[[#This Row],[KEYTIER1]]="EXTERIOR","EXT",Database[[#This Row],[SECTION '#]]))</f>
        <v>INT</v>
      </c>
      <c r="AK8" s="50" t="str">
        <f>IF(OR(Database[[#This Row],[KEYTIER2]]="INT",Database[[#This Row],[KEYTIER2]]="EXT"),"",IF(Database[[#This Row],[SECTION NAME]]="","",Database[[#This Row],[SECTION NAME]]))</f>
        <v/>
      </c>
    </row>
    <row r="9" spans="1:37" ht="29" x14ac:dyDescent="0.35">
      <c r="B9" s="50" t="s">
        <v>36</v>
      </c>
      <c r="C9" s="50">
        <v>3</v>
      </c>
      <c r="D9" s="50" t="s">
        <v>37</v>
      </c>
      <c r="E9" s="50">
        <v>34900</v>
      </c>
      <c r="F9" s="53" t="s">
        <v>276</v>
      </c>
      <c r="G9" s="72" t="s">
        <v>43</v>
      </c>
      <c r="H9" s="53" t="s">
        <v>277</v>
      </c>
      <c r="I9" s="64"/>
      <c r="J9" s="52"/>
      <c r="K9" s="52"/>
      <c r="L9" s="52"/>
      <c r="M9" s="52"/>
      <c r="N9" s="54"/>
      <c r="O9" s="66"/>
      <c r="P9" s="51" t="s">
        <v>40</v>
      </c>
      <c r="Q9" s="51"/>
      <c r="R9" s="51"/>
      <c r="S9" s="51"/>
      <c r="T9" s="55"/>
      <c r="U9" s="69"/>
      <c r="V9" s="50"/>
      <c r="W9" s="50"/>
      <c r="X9" s="50"/>
      <c r="Y9" s="50"/>
      <c r="Z9" s="50"/>
      <c r="AA9" s="50"/>
      <c r="AB9" s="50"/>
      <c r="AC9" s="50">
        <f>IF(COUNTIF($C$3:C9,C9)=1,1,IF(COUNTIF($E$3:E9,E9)=1,2,0))</f>
        <v>2</v>
      </c>
      <c r="AD9" s="50" t="str">
        <f>IF(ISNUMBER(SEARCH("-",Database[[#This Row],[KEYNOTE '#]])),LEFT(Database[[#This Row],[KEYNOTE '#]],FIND("-",Database[[#This Row],[KEYNOTE '#]])-1),Database[[#This Row],[KEYNOTE '#]])</f>
        <v>GFC</v>
      </c>
      <c r="AE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9" s="50" t="str">
        <f>IF(AND(ISNUMBER(SEARCH("-",Database[[#This Row],[KEYNOTE '#]]))=TRUE,ISNUMBER(--RIGHT(Database[[#This Row],[KEYNOTE '#]]))=FALSE),RIGHT(Database[[#This Row],[KEYNOTE '#]],1),"")</f>
        <v/>
      </c>
      <c r="AG9" s="50">
        <v>7</v>
      </c>
      <c r="AH9" s="50" t="str">
        <f>IF(COUNTIF(Database[[#This Row],[BASE]:[INT. OTHER]],"g"),"INTERIOR",IF(COUNTIF(Database[[#This Row],[ROOF]:[EXT. OTHER]],"n"),"EXTERIOR",Database[[#This Row],[DIVISION '#]]))</f>
        <v>EXTERIOR</v>
      </c>
      <c r="AI9" s="50" t="str">
        <f>IF(OR(Database[[#This Row],[KEYTIER1]]="INTERIOR",Database[[#This Row],[KEYTIER1]]="EXTERIOR"),"",Database[[#This Row],[DIVISION NAME]])</f>
        <v/>
      </c>
      <c r="AJ9" s="50" t="str">
        <f>IF(Database[[#This Row],[KEYTIER1]]="INTERIOR","INT",IF(Database[[#This Row],[KEYTIER1]]="EXTERIOR","EXT",Database[[#This Row],[SECTION '#]]))</f>
        <v>EXT</v>
      </c>
      <c r="AK9" s="50" t="str">
        <f>IF(OR(Database[[#This Row],[KEYTIER2]]="INT",Database[[#This Row],[KEYTIER2]]="EXT"),"",IF(Database[[#This Row],[SECTION NAME]]="","",Database[[#This Row],[SECTION NAME]]))</f>
        <v/>
      </c>
    </row>
    <row r="10" spans="1:37" ht="29" x14ac:dyDescent="0.35">
      <c r="B10" s="50" t="s">
        <v>36</v>
      </c>
      <c r="C10" s="50">
        <v>4</v>
      </c>
      <c r="D10" s="50" t="s">
        <v>44</v>
      </c>
      <c r="E10" s="50">
        <v>42100</v>
      </c>
      <c r="F10" s="53" t="s">
        <v>278</v>
      </c>
      <c r="G10" s="72" t="s">
        <v>45</v>
      </c>
      <c r="H10" s="53" t="s">
        <v>279</v>
      </c>
      <c r="I10" s="64"/>
      <c r="J10" s="52"/>
      <c r="K10" s="52"/>
      <c r="L10" s="52"/>
      <c r="M10" s="52"/>
      <c r="N10" s="54"/>
      <c r="O10" s="66"/>
      <c r="P10" s="51" t="s">
        <v>40</v>
      </c>
      <c r="Q10" s="51"/>
      <c r="R10" s="51"/>
      <c r="S10" s="51"/>
      <c r="T10" s="55"/>
      <c r="U10" s="69"/>
      <c r="V10" s="50"/>
      <c r="W10" s="50"/>
      <c r="X10" s="50"/>
      <c r="Y10" s="50"/>
      <c r="Z10" s="50"/>
      <c r="AA10" s="50"/>
      <c r="AB10" s="50"/>
      <c r="AC10" s="50">
        <f>IF(COUNTIF($C$3:C10,C10)=1,1,IF(COUNTIF($E$3:E10,E10)=1,2,0))</f>
        <v>1</v>
      </c>
      <c r="AD10" s="50" t="str">
        <f>IF(ISNUMBER(SEARCH("-",Database[[#This Row],[KEYNOTE '#]])),LEFT(Database[[#This Row],[KEYNOTE '#]],FIND("-",Database[[#This Row],[KEYNOTE '#]])-1),Database[[#This Row],[KEYNOTE '#]])</f>
        <v>BR</v>
      </c>
      <c r="AE1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0" s="50" t="str">
        <f>IF(AND(ISNUMBER(SEARCH("-",Database[[#This Row],[KEYNOTE '#]]))=TRUE,ISNUMBER(--RIGHT(Database[[#This Row],[KEYNOTE '#]]))=FALSE),RIGHT(Database[[#This Row],[KEYNOTE '#]],1),"")</f>
        <v/>
      </c>
      <c r="AG10" s="50">
        <v>8</v>
      </c>
      <c r="AH10" s="50" t="str">
        <f>IF(COUNTIF(Database[[#This Row],[BASE]:[INT. OTHER]],"g"),"INTERIOR",IF(COUNTIF(Database[[#This Row],[ROOF]:[EXT. OTHER]],"n"),"EXTERIOR",Database[[#This Row],[DIVISION '#]]))</f>
        <v>EXTERIOR</v>
      </c>
      <c r="AI10" s="50" t="str">
        <f>IF(OR(Database[[#This Row],[KEYTIER1]]="INTERIOR",Database[[#This Row],[KEYTIER1]]="EXTERIOR"),"",Database[[#This Row],[DIVISION NAME]])</f>
        <v/>
      </c>
      <c r="AJ10" s="50" t="str">
        <f>IF(Database[[#This Row],[KEYTIER1]]="INTERIOR","INT",IF(Database[[#This Row],[KEYTIER1]]="EXTERIOR","EXT",Database[[#This Row],[SECTION '#]]))</f>
        <v>EXT</v>
      </c>
      <c r="AK10" s="50" t="str">
        <f>IF(OR(Database[[#This Row],[KEYTIER2]]="INT",Database[[#This Row],[KEYTIER2]]="EXT"),"",IF(Database[[#This Row],[SECTION NAME]]="","",Database[[#This Row],[SECTION NAME]]))</f>
        <v/>
      </c>
    </row>
    <row r="11" spans="1:37" ht="29" x14ac:dyDescent="0.35">
      <c r="B11" s="50" t="s">
        <v>36</v>
      </c>
      <c r="C11" s="50">
        <v>4</v>
      </c>
      <c r="D11" s="50" t="s">
        <v>44</v>
      </c>
      <c r="E11" s="50">
        <v>42100</v>
      </c>
      <c r="F11" s="53" t="s">
        <v>278</v>
      </c>
      <c r="G11" s="72" t="s">
        <v>59</v>
      </c>
      <c r="H11" s="53" t="s">
        <v>280</v>
      </c>
      <c r="I11" s="64"/>
      <c r="J11" s="52"/>
      <c r="K11" s="52"/>
      <c r="L11" s="52"/>
      <c r="M11" s="52"/>
      <c r="N11" s="54"/>
      <c r="O11" s="66"/>
      <c r="P11" s="51" t="s">
        <v>40</v>
      </c>
      <c r="Q11" s="51"/>
      <c r="R11" s="51"/>
      <c r="S11" s="51"/>
      <c r="T11" s="55"/>
      <c r="U11" s="69"/>
      <c r="V11" s="50"/>
      <c r="W11" s="50"/>
      <c r="X11" s="50"/>
      <c r="Y11" s="50"/>
      <c r="Z11" s="50"/>
      <c r="AA11" s="50"/>
      <c r="AB11" s="50"/>
      <c r="AC11" s="50">
        <f>IF(COUNTIF($C$3:C11,C11)=1,1,IF(COUNTIF($E$3:E11,E11)=1,2,0))</f>
        <v>0</v>
      </c>
      <c r="AD11" s="50" t="str">
        <f>IF(ISNUMBER(SEARCH("-",Database[[#This Row],[KEYNOTE '#]])),LEFT(Database[[#This Row],[KEYNOTE '#]],FIND("-",Database[[#This Row],[KEYNOTE '#]])-1),Database[[#This Row],[KEYNOTE '#]])</f>
        <v>TC</v>
      </c>
      <c r="AE1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1" s="50" t="str">
        <f>IF(AND(ISNUMBER(SEARCH("-",Database[[#This Row],[KEYNOTE '#]]))=TRUE,ISNUMBER(--RIGHT(Database[[#This Row],[KEYNOTE '#]]))=FALSE),RIGHT(Database[[#This Row],[KEYNOTE '#]],1),"")</f>
        <v/>
      </c>
      <c r="AG11" s="50">
        <v>9</v>
      </c>
      <c r="AH11" s="50" t="str">
        <f>IF(COUNTIF(Database[[#This Row],[BASE]:[INT. OTHER]],"g"),"INTERIOR",IF(COUNTIF(Database[[#This Row],[ROOF]:[EXT. OTHER]],"n"),"EXTERIOR",Database[[#This Row],[DIVISION '#]]))</f>
        <v>EXTERIOR</v>
      </c>
      <c r="AI11" s="50" t="str">
        <f>IF(OR(Database[[#This Row],[KEYTIER1]]="INTERIOR",Database[[#This Row],[KEYTIER1]]="EXTERIOR"),"",Database[[#This Row],[DIVISION NAME]])</f>
        <v/>
      </c>
      <c r="AJ11" s="50" t="str">
        <f>IF(Database[[#This Row],[KEYTIER1]]="INTERIOR","INT",IF(Database[[#This Row],[KEYTIER1]]="EXTERIOR","EXT",Database[[#This Row],[SECTION '#]]))</f>
        <v>EXT</v>
      </c>
      <c r="AK11" s="50" t="str">
        <f>IF(OR(Database[[#This Row],[KEYTIER2]]="INT",Database[[#This Row],[KEYTIER2]]="EXT"),"",IF(Database[[#This Row],[SECTION NAME]]="","",Database[[#This Row],[SECTION NAME]]))</f>
        <v/>
      </c>
    </row>
    <row r="12" spans="1:37" ht="29" x14ac:dyDescent="0.35">
      <c r="B12" s="50" t="s">
        <v>36</v>
      </c>
      <c r="C12" s="50">
        <v>4</v>
      </c>
      <c r="D12" s="50" t="s">
        <v>44</v>
      </c>
      <c r="E12" s="50">
        <v>42200</v>
      </c>
      <c r="F12" s="53" t="s">
        <v>281</v>
      </c>
      <c r="G12" s="72" t="s">
        <v>46</v>
      </c>
      <c r="H12" s="53" t="s">
        <v>282</v>
      </c>
      <c r="I12" s="64"/>
      <c r="J12" s="52"/>
      <c r="K12" s="52"/>
      <c r="L12" s="52"/>
      <c r="M12" s="52"/>
      <c r="N12" s="54"/>
      <c r="O12" s="66"/>
      <c r="P12" s="51" t="s">
        <v>40</v>
      </c>
      <c r="Q12" s="51"/>
      <c r="R12" s="51"/>
      <c r="S12" s="51"/>
      <c r="T12" s="55"/>
      <c r="U12" s="69"/>
      <c r="V12" s="50"/>
      <c r="W12" s="50"/>
      <c r="X12" s="50"/>
      <c r="Y12" s="50"/>
      <c r="Z12" s="50"/>
      <c r="AA12" s="50"/>
      <c r="AB12" s="50"/>
      <c r="AC12" s="50">
        <f>IF(COUNTIF($C$3:C12,C12)=1,1,IF(COUNTIF($E$3:E12,E12)=1,2,0))</f>
        <v>2</v>
      </c>
      <c r="AD12" s="50" t="str">
        <f>IF(ISNUMBER(SEARCH("-",Database[[#This Row],[KEYNOTE '#]])),LEFT(Database[[#This Row],[KEYNOTE '#]],FIND("-",Database[[#This Row],[KEYNOTE '#]])-1),Database[[#This Row],[KEYNOTE '#]])</f>
        <v>CMU</v>
      </c>
      <c r="AE1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2" s="50" t="str">
        <f>IF(AND(ISNUMBER(SEARCH("-",Database[[#This Row],[KEYNOTE '#]]))=TRUE,ISNUMBER(--RIGHT(Database[[#This Row],[KEYNOTE '#]]))=FALSE),RIGHT(Database[[#This Row],[KEYNOTE '#]],1),"")</f>
        <v/>
      </c>
      <c r="AG12" s="50">
        <v>10</v>
      </c>
      <c r="AH12" s="50" t="str">
        <f>IF(COUNTIF(Database[[#This Row],[BASE]:[INT. OTHER]],"g"),"INTERIOR",IF(COUNTIF(Database[[#This Row],[ROOF]:[EXT. OTHER]],"n"),"EXTERIOR",Database[[#This Row],[DIVISION '#]]))</f>
        <v>EXTERIOR</v>
      </c>
      <c r="AI12" s="50" t="str">
        <f>IF(OR(Database[[#This Row],[KEYTIER1]]="INTERIOR",Database[[#This Row],[KEYTIER1]]="EXTERIOR"),"",Database[[#This Row],[DIVISION NAME]])</f>
        <v/>
      </c>
      <c r="AJ12" s="50" t="str">
        <f>IF(Database[[#This Row],[KEYTIER1]]="INTERIOR","INT",IF(Database[[#This Row],[KEYTIER1]]="EXTERIOR","EXT",Database[[#This Row],[SECTION '#]]))</f>
        <v>EXT</v>
      </c>
      <c r="AK12" s="50" t="str">
        <f>IF(OR(Database[[#This Row],[KEYTIER2]]="INT",Database[[#This Row],[KEYTIER2]]="EXT"),"",IF(Database[[#This Row],[SECTION NAME]]="","",Database[[#This Row],[SECTION NAME]]))</f>
        <v/>
      </c>
    </row>
    <row r="13" spans="1:37" ht="29" x14ac:dyDescent="0.35">
      <c r="B13" s="50" t="s">
        <v>36</v>
      </c>
      <c r="C13" s="50">
        <v>4</v>
      </c>
      <c r="D13" s="50" t="s">
        <v>44</v>
      </c>
      <c r="E13" s="50">
        <v>44200</v>
      </c>
      <c r="F13" s="53" t="s">
        <v>283</v>
      </c>
      <c r="G13" s="72" t="s">
        <v>47</v>
      </c>
      <c r="H13" s="53" t="s">
        <v>284</v>
      </c>
      <c r="I13" s="64"/>
      <c r="J13" s="52"/>
      <c r="K13" s="52"/>
      <c r="L13" s="52"/>
      <c r="M13" s="52"/>
      <c r="N13" s="54"/>
      <c r="O13" s="66"/>
      <c r="P13" s="51" t="s">
        <v>40</v>
      </c>
      <c r="Q13" s="51"/>
      <c r="R13" s="51"/>
      <c r="S13" s="51"/>
      <c r="T13" s="55"/>
      <c r="U13" s="69"/>
      <c r="V13" s="50"/>
      <c r="W13" s="50"/>
      <c r="X13" s="50"/>
      <c r="Y13" s="50"/>
      <c r="Z13" s="50"/>
      <c r="AA13" s="50"/>
      <c r="AB13" s="50"/>
      <c r="AC13" s="50">
        <f>IF(COUNTIF($C$3:C13,C13)=1,1,IF(COUNTIF($E$3:E13,E13)=1,2,0))</f>
        <v>2</v>
      </c>
      <c r="AD13" s="50" t="str">
        <f>IF(ISNUMBER(SEARCH("-",Database[[#This Row],[KEYNOTE '#]])),LEFT(Database[[#This Row],[KEYNOTE '#]],FIND("-",Database[[#This Row],[KEYNOTE '#]])-1),Database[[#This Row],[KEYNOTE '#]])</f>
        <v>ST</v>
      </c>
      <c r="AE1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3" s="50" t="str">
        <f>IF(AND(ISNUMBER(SEARCH("-",Database[[#This Row],[KEYNOTE '#]]))=TRUE,ISNUMBER(--RIGHT(Database[[#This Row],[KEYNOTE '#]]))=FALSE),RIGHT(Database[[#This Row],[KEYNOTE '#]],1),"")</f>
        <v/>
      </c>
      <c r="AG13" s="50">
        <v>11</v>
      </c>
      <c r="AH13" s="50" t="str">
        <f>IF(COUNTIF(Database[[#This Row],[BASE]:[INT. OTHER]],"g"),"INTERIOR",IF(COUNTIF(Database[[#This Row],[ROOF]:[EXT. OTHER]],"n"),"EXTERIOR",Database[[#This Row],[DIVISION '#]]))</f>
        <v>EXTERIOR</v>
      </c>
      <c r="AI13" s="50" t="str">
        <f>IF(OR(Database[[#This Row],[KEYTIER1]]="INTERIOR",Database[[#This Row],[KEYTIER1]]="EXTERIOR"),"",Database[[#This Row],[DIVISION NAME]])</f>
        <v/>
      </c>
      <c r="AJ13" s="50" t="str">
        <f>IF(Database[[#This Row],[KEYTIER1]]="INTERIOR","INT",IF(Database[[#This Row],[KEYTIER1]]="EXTERIOR","EXT",Database[[#This Row],[SECTION '#]]))</f>
        <v>EXT</v>
      </c>
      <c r="AK13" s="50" t="str">
        <f>IF(OR(Database[[#This Row],[KEYTIER2]]="INT",Database[[#This Row],[KEYTIER2]]="EXT"),"",IF(Database[[#This Row],[SECTION NAME]]="","",Database[[#This Row],[SECTION NAME]]))</f>
        <v/>
      </c>
    </row>
    <row r="14" spans="1:37" ht="29" x14ac:dyDescent="0.35">
      <c r="B14" s="50" t="s">
        <v>36</v>
      </c>
      <c r="C14" s="50">
        <v>4</v>
      </c>
      <c r="D14" s="50" t="s">
        <v>44</v>
      </c>
      <c r="E14" s="50">
        <v>47200</v>
      </c>
      <c r="F14" s="53" t="s">
        <v>285</v>
      </c>
      <c r="G14" s="72" t="s">
        <v>48</v>
      </c>
      <c r="H14" s="53" t="s">
        <v>286</v>
      </c>
      <c r="I14" s="64"/>
      <c r="J14" s="52"/>
      <c r="K14" s="52"/>
      <c r="L14" s="52"/>
      <c r="M14" s="52"/>
      <c r="N14" s="54"/>
      <c r="O14" s="66"/>
      <c r="P14" s="51" t="s">
        <v>40</v>
      </c>
      <c r="Q14" s="51"/>
      <c r="R14" s="51"/>
      <c r="S14" s="51"/>
      <c r="T14" s="55"/>
      <c r="U14" s="69"/>
      <c r="V14" s="50"/>
      <c r="W14" s="50"/>
      <c r="X14" s="50"/>
      <c r="Y14" s="50"/>
      <c r="Z14" s="50"/>
      <c r="AA14" s="50"/>
      <c r="AB14" s="50"/>
      <c r="AC14" s="50">
        <f>IF(COUNTIF($C$3:C14,C14)=1,1,IF(COUNTIF($E$3:E14,E14)=1,2,0))</f>
        <v>2</v>
      </c>
      <c r="AD14" s="50" t="str">
        <f>IF(ISNUMBER(SEARCH("-",Database[[#This Row],[KEYNOTE '#]])),LEFT(Database[[#This Row],[KEYNOTE '#]],FIND("-",Database[[#This Row],[KEYNOTE '#]])-1),Database[[#This Row],[KEYNOTE '#]])</f>
        <v>CST</v>
      </c>
      <c r="AE1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4" s="50" t="str">
        <f>IF(AND(ISNUMBER(SEARCH("-",Database[[#This Row],[KEYNOTE '#]]))=TRUE,ISNUMBER(--RIGHT(Database[[#This Row],[KEYNOTE '#]]))=FALSE),RIGHT(Database[[#This Row],[KEYNOTE '#]],1),"")</f>
        <v/>
      </c>
      <c r="AG14" s="50">
        <v>12</v>
      </c>
      <c r="AH14" s="50" t="str">
        <f>IF(COUNTIF(Database[[#This Row],[BASE]:[INT. OTHER]],"g"),"INTERIOR",IF(COUNTIF(Database[[#This Row],[ROOF]:[EXT. OTHER]],"n"),"EXTERIOR",Database[[#This Row],[DIVISION '#]]))</f>
        <v>EXTERIOR</v>
      </c>
      <c r="AI14" s="50" t="str">
        <f>IF(OR(Database[[#This Row],[KEYTIER1]]="INTERIOR",Database[[#This Row],[KEYTIER1]]="EXTERIOR"),"",Database[[#This Row],[DIVISION NAME]])</f>
        <v/>
      </c>
      <c r="AJ14" s="50" t="str">
        <f>IF(Database[[#This Row],[KEYTIER1]]="INTERIOR","INT",IF(Database[[#This Row],[KEYTIER1]]="EXTERIOR","EXT",Database[[#This Row],[SECTION '#]]))</f>
        <v>EXT</v>
      </c>
      <c r="AK14" s="50" t="str">
        <f>IF(OR(Database[[#This Row],[KEYTIER2]]="INT",Database[[#This Row],[KEYTIER2]]="EXT"),"",IF(Database[[#This Row],[SECTION NAME]]="","",Database[[#This Row],[SECTION NAME]]))</f>
        <v/>
      </c>
    </row>
    <row r="15" spans="1:37" x14ac:dyDescent="0.35">
      <c r="B15" s="50" t="s">
        <v>36</v>
      </c>
      <c r="C15" s="50">
        <v>5</v>
      </c>
      <c r="D15" s="50" t="s">
        <v>49</v>
      </c>
      <c r="E15" s="50">
        <v>55000</v>
      </c>
      <c r="F15" s="53" t="s">
        <v>287</v>
      </c>
      <c r="G15" s="72" t="s">
        <v>50</v>
      </c>
      <c r="H15" s="53" t="s">
        <v>288</v>
      </c>
      <c r="I15" s="64"/>
      <c r="J15" s="52"/>
      <c r="K15" s="52"/>
      <c r="L15" s="52"/>
      <c r="M15" s="52"/>
      <c r="N15" s="54"/>
      <c r="O15" s="66"/>
      <c r="P15" s="51"/>
      <c r="Q15" s="51"/>
      <c r="R15" s="51"/>
      <c r="S15" s="51"/>
      <c r="T15" s="55"/>
      <c r="U15" s="69"/>
      <c r="V15" s="50"/>
      <c r="W15" s="50"/>
      <c r="X15" s="50"/>
      <c r="Y15" s="50"/>
      <c r="Z15" s="50"/>
      <c r="AA15" s="50"/>
      <c r="AB15" s="50"/>
      <c r="AC15" s="50">
        <f>IF(COUNTIF($C$3:C15,C15)=1,1,IF(COUNTIF($E$3:E15,E15)=1,2,0))</f>
        <v>1</v>
      </c>
      <c r="AD15" s="50" t="str">
        <f>IF(ISNUMBER(SEARCH("-",Database[[#This Row],[KEYNOTE '#]])),LEFT(Database[[#This Row],[KEYNOTE '#]],FIND("-",Database[[#This Row],[KEYNOTE '#]])-1),Database[[#This Row],[KEYNOTE '#]])</f>
        <v>MF</v>
      </c>
      <c r="AE1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5" s="50" t="str">
        <f>IF(AND(ISNUMBER(SEARCH("-",Database[[#This Row],[KEYNOTE '#]]))=TRUE,ISNUMBER(--RIGHT(Database[[#This Row],[KEYNOTE '#]]))=FALSE),RIGHT(Database[[#This Row],[KEYNOTE '#]],1),"")</f>
        <v/>
      </c>
      <c r="AG15" s="50">
        <v>13</v>
      </c>
      <c r="AH15" s="50">
        <f>IF(COUNTIF(Database[[#This Row],[BASE]:[INT. OTHER]],"g"),"INTERIOR",IF(COUNTIF(Database[[#This Row],[ROOF]:[EXT. OTHER]],"n"),"EXTERIOR",Database[[#This Row],[DIVISION '#]]))</f>
        <v>5</v>
      </c>
      <c r="AI15" s="50" t="str">
        <f>IF(OR(Database[[#This Row],[KEYTIER1]]="INTERIOR",Database[[#This Row],[KEYTIER1]]="EXTERIOR"),"",Database[[#This Row],[DIVISION NAME]])</f>
        <v>DIVISION 05 - METALS</v>
      </c>
      <c r="AJ15" s="50">
        <f>IF(Database[[#This Row],[KEYTIER1]]="INTERIOR","INT",IF(Database[[#This Row],[KEYTIER1]]="EXTERIOR","EXT",Database[[#This Row],[SECTION '#]]))</f>
        <v>55000</v>
      </c>
      <c r="AK15" s="50" t="str">
        <f>IF(OR(Database[[#This Row],[KEYTIER2]]="INT",Database[[#This Row],[KEYTIER2]]="EXT"),"",IF(Database[[#This Row],[SECTION NAME]]="","",Database[[#This Row],[SECTION NAME]]))</f>
        <v>SECTION 055000 - METAL FABRICATIONS</v>
      </c>
    </row>
    <row r="16" spans="1:37" ht="29" x14ac:dyDescent="0.35">
      <c r="B16" s="50" t="s">
        <v>36</v>
      </c>
      <c r="C16" s="50">
        <v>5</v>
      </c>
      <c r="D16" s="50" t="s">
        <v>49</v>
      </c>
      <c r="E16" s="50">
        <v>55200</v>
      </c>
      <c r="F16" s="53" t="s">
        <v>289</v>
      </c>
      <c r="G16" s="72" t="s">
        <v>51</v>
      </c>
      <c r="H16" s="53" t="s">
        <v>290</v>
      </c>
      <c r="I16" s="64"/>
      <c r="J16" s="52"/>
      <c r="K16" s="52"/>
      <c r="L16" s="52"/>
      <c r="M16" s="52"/>
      <c r="N16" s="54"/>
      <c r="O16" s="66"/>
      <c r="P16" s="51"/>
      <c r="Q16" s="51"/>
      <c r="R16" s="51"/>
      <c r="S16" s="51"/>
      <c r="T16" s="55" t="s">
        <v>40</v>
      </c>
      <c r="U16" s="69"/>
      <c r="V16" s="50"/>
      <c r="W16" s="50"/>
      <c r="X16" s="50"/>
      <c r="Y16" s="50"/>
      <c r="Z16" s="50"/>
      <c r="AA16" s="50"/>
      <c r="AB16" s="50"/>
      <c r="AC16" s="50">
        <f>IF(COUNTIF($C$3:C16,C16)=1,1,IF(COUNTIF($E$3:E16,E16)=1,2,0))</f>
        <v>2</v>
      </c>
      <c r="AD16" s="50" t="str">
        <f>IF(ISNUMBER(SEARCH("-",Database[[#This Row],[KEYNOTE '#]])),LEFT(Database[[#This Row],[KEYNOTE '#]],FIND("-",Database[[#This Row],[KEYNOTE '#]])-1),Database[[#This Row],[KEYNOTE '#]])</f>
        <v>RLG</v>
      </c>
      <c r="AE1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6" s="50" t="str">
        <f>IF(AND(ISNUMBER(SEARCH("-",Database[[#This Row],[KEYNOTE '#]]))=TRUE,ISNUMBER(--RIGHT(Database[[#This Row],[KEYNOTE '#]]))=FALSE),RIGHT(Database[[#This Row],[KEYNOTE '#]],1),"")</f>
        <v/>
      </c>
      <c r="AG16" s="50">
        <v>14</v>
      </c>
      <c r="AH16" s="50" t="str">
        <f>IF(COUNTIF(Database[[#This Row],[BASE]:[INT. OTHER]],"g"),"INTERIOR",IF(COUNTIF(Database[[#This Row],[ROOF]:[EXT. OTHER]],"n"),"EXTERIOR",Database[[#This Row],[DIVISION '#]]))</f>
        <v>EXTERIOR</v>
      </c>
      <c r="AI16" s="50" t="str">
        <f>IF(OR(Database[[#This Row],[KEYTIER1]]="INTERIOR",Database[[#This Row],[KEYTIER1]]="EXTERIOR"),"",Database[[#This Row],[DIVISION NAME]])</f>
        <v/>
      </c>
      <c r="AJ16" s="50" t="str">
        <f>IF(Database[[#This Row],[KEYTIER1]]="INTERIOR","INT",IF(Database[[#This Row],[KEYTIER1]]="EXTERIOR","EXT",Database[[#This Row],[SECTION '#]]))</f>
        <v>EXT</v>
      </c>
      <c r="AK16" s="50" t="str">
        <f>IF(OR(Database[[#This Row],[KEYTIER2]]="INT",Database[[#This Row],[KEYTIER2]]="EXT"),"",IF(Database[[#This Row],[SECTION NAME]]="","",Database[[#This Row],[SECTION NAME]]))</f>
        <v/>
      </c>
    </row>
    <row r="17" spans="2:37" ht="29" x14ac:dyDescent="0.35">
      <c r="B17" s="50" t="s">
        <v>36</v>
      </c>
      <c r="C17" s="50">
        <v>5</v>
      </c>
      <c r="D17" s="50" t="s">
        <v>49</v>
      </c>
      <c r="E17" s="50">
        <v>55200</v>
      </c>
      <c r="F17" s="53" t="s">
        <v>289</v>
      </c>
      <c r="G17" s="72" t="s">
        <v>54</v>
      </c>
      <c r="H17" s="53" t="s">
        <v>291</v>
      </c>
      <c r="I17" s="64"/>
      <c r="J17" s="52"/>
      <c r="K17" s="52"/>
      <c r="L17" s="52"/>
      <c r="M17" s="52"/>
      <c r="N17" s="54"/>
      <c r="O17" s="66"/>
      <c r="P17" s="51"/>
      <c r="Q17" s="51"/>
      <c r="R17" s="51"/>
      <c r="S17" s="51"/>
      <c r="T17" s="55" t="s">
        <v>40</v>
      </c>
      <c r="U17" s="69"/>
      <c r="V17" s="50"/>
      <c r="W17" s="50"/>
      <c r="X17" s="50"/>
      <c r="Y17" s="50"/>
      <c r="Z17" s="50"/>
      <c r="AA17" s="50"/>
      <c r="AB17" s="50"/>
      <c r="AC17" s="50">
        <f>IF(COUNTIF($C$3:C17,C17)=1,1,IF(COUNTIF($E$3:E17,E17)=1,2,0))</f>
        <v>0</v>
      </c>
      <c r="AD17" s="50" t="str">
        <f>IF(ISNUMBER(SEARCH("-",Database[[#This Row],[KEYNOTE '#]])),LEFT(Database[[#This Row],[KEYNOTE '#]],FIND("-",Database[[#This Row],[KEYNOTE '#]])-1),Database[[#This Row],[KEYNOTE '#]])</f>
        <v>RLG</v>
      </c>
      <c r="AE1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17" s="50" t="str">
        <f>IF(AND(ISNUMBER(SEARCH("-",Database[[#This Row],[KEYNOTE '#]]))=TRUE,ISNUMBER(--RIGHT(Database[[#This Row],[KEYNOTE '#]]))=FALSE),RIGHT(Database[[#This Row],[KEYNOTE '#]],1),"")</f>
        <v/>
      </c>
      <c r="AG17" s="50">
        <v>15</v>
      </c>
      <c r="AH17" s="50" t="str">
        <f>IF(COUNTIF(Database[[#This Row],[BASE]:[INT. OTHER]],"g"),"INTERIOR",IF(COUNTIF(Database[[#This Row],[ROOF]:[EXT. OTHER]],"n"),"EXTERIOR",Database[[#This Row],[DIVISION '#]]))</f>
        <v>EXTERIOR</v>
      </c>
      <c r="AI17" s="50" t="str">
        <f>IF(OR(Database[[#This Row],[KEYTIER1]]="INTERIOR",Database[[#This Row],[KEYTIER1]]="EXTERIOR"),"",Database[[#This Row],[DIVISION NAME]])</f>
        <v/>
      </c>
      <c r="AJ17" s="50" t="str">
        <f>IF(Database[[#This Row],[KEYTIER1]]="INTERIOR","INT",IF(Database[[#This Row],[KEYTIER1]]="EXTERIOR","EXT",Database[[#This Row],[SECTION '#]]))</f>
        <v>EXT</v>
      </c>
      <c r="AK17" s="50" t="str">
        <f>IF(OR(Database[[#This Row],[KEYTIER2]]="INT",Database[[#This Row],[KEYTIER2]]="EXT"),"",IF(Database[[#This Row],[SECTION NAME]]="","",Database[[#This Row],[SECTION NAME]]))</f>
        <v/>
      </c>
    </row>
    <row r="18" spans="2:37" ht="29" x14ac:dyDescent="0.35">
      <c r="B18" s="50" t="s">
        <v>36</v>
      </c>
      <c r="C18" s="50">
        <v>5</v>
      </c>
      <c r="D18" s="50" t="s">
        <v>49</v>
      </c>
      <c r="E18" s="50">
        <v>55300</v>
      </c>
      <c r="F18" s="53" t="s">
        <v>292</v>
      </c>
      <c r="G18" s="72" t="s">
        <v>52</v>
      </c>
      <c r="H18" s="53" t="s">
        <v>293</v>
      </c>
      <c r="I18" s="64"/>
      <c r="J18" s="52"/>
      <c r="K18" s="52"/>
      <c r="L18" s="52"/>
      <c r="M18" s="52"/>
      <c r="N18" s="54"/>
      <c r="O18" s="66"/>
      <c r="P18" s="51"/>
      <c r="Q18" s="51"/>
      <c r="R18" s="51"/>
      <c r="S18" s="51"/>
      <c r="T18" s="55" t="s">
        <v>40</v>
      </c>
      <c r="U18" s="69"/>
      <c r="V18" s="50"/>
      <c r="W18" s="50"/>
      <c r="X18" s="50"/>
      <c r="Y18" s="50"/>
      <c r="Z18" s="50"/>
      <c r="AA18" s="50"/>
      <c r="AB18" s="50"/>
      <c r="AC18" s="50">
        <f>IF(COUNTIF($C$3:C18,C18)=1,1,IF(COUNTIF($E$3:E18,E18)=1,2,0))</f>
        <v>2</v>
      </c>
      <c r="AD18" s="50" t="str">
        <f>IF(ISNUMBER(SEARCH("-",Database[[#This Row],[KEYNOTE '#]])),LEFT(Database[[#This Row],[KEYNOTE '#]],FIND("-",Database[[#This Row],[KEYNOTE '#]])-1),Database[[#This Row],[KEYNOTE '#]])</f>
        <v>GRT</v>
      </c>
      <c r="AE1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8" s="50" t="str">
        <f>IF(AND(ISNUMBER(SEARCH("-",Database[[#This Row],[KEYNOTE '#]]))=TRUE,ISNUMBER(--RIGHT(Database[[#This Row],[KEYNOTE '#]]))=FALSE),RIGHT(Database[[#This Row],[KEYNOTE '#]],1),"")</f>
        <v/>
      </c>
      <c r="AG18" s="50">
        <v>16</v>
      </c>
      <c r="AH18" s="50" t="str">
        <f>IF(COUNTIF(Database[[#This Row],[BASE]:[INT. OTHER]],"g"),"INTERIOR",IF(COUNTIF(Database[[#This Row],[ROOF]:[EXT. OTHER]],"n"),"EXTERIOR",Database[[#This Row],[DIVISION '#]]))</f>
        <v>EXTERIOR</v>
      </c>
      <c r="AI18" s="50" t="str">
        <f>IF(OR(Database[[#This Row],[KEYTIER1]]="INTERIOR",Database[[#This Row],[KEYTIER1]]="EXTERIOR"),"",Database[[#This Row],[DIVISION NAME]])</f>
        <v/>
      </c>
      <c r="AJ18" s="50" t="str">
        <f>IF(Database[[#This Row],[KEYTIER1]]="INTERIOR","INT",IF(Database[[#This Row],[KEYTIER1]]="EXTERIOR","EXT",Database[[#This Row],[SECTION '#]]))</f>
        <v>EXT</v>
      </c>
      <c r="AK18" s="50" t="str">
        <f>IF(OR(Database[[#This Row],[KEYTIER2]]="INT",Database[[#This Row],[KEYTIER2]]="EXT"),"",IF(Database[[#This Row],[SECTION NAME]]="","",Database[[#This Row],[SECTION NAME]]))</f>
        <v/>
      </c>
    </row>
    <row r="19" spans="2:37" x14ac:dyDescent="0.35">
      <c r="B19" s="50" t="s">
        <v>36</v>
      </c>
      <c r="C19" s="50">
        <v>5</v>
      </c>
      <c r="D19" s="50" t="s">
        <v>49</v>
      </c>
      <c r="E19" s="50">
        <v>57000</v>
      </c>
      <c r="F19" s="53" t="s">
        <v>294</v>
      </c>
      <c r="G19" s="72" t="s">
        <v>295</v>
      </c>
      <c r="H19" s="53" t="s">
        <v>296</v>
      </c>
      <c r="I19" s="64"/>
      <c r="J19" s="52"/>
      <c r="K19" s="52"/>
      <c r="L19" s="52"/>
      <c r="M19" s="52"/>
      <c r="N19" s="54" t="s">
        <v>38</v>
      </c>
      <c r="O19" s="66"/>
      <c r="P19" s="51"/>
      <c r="Q19" s="51"/>
      <c r="R19" s="51"/>
      <c r="S19" s="51"/>
      <c r="T19" s="55"/>
      <c r="U19" s="69"/>
      <c r="V19" s="50"/>
      <c r="W19" s="50"/>
      <c r="X19" s="50"/>
      <c r="Y19" s="50"/>
      <c r="Z19" s="50"/>
      <c r="AA19" s="50"/>
      <c r="AB19" s="50"/>
      <c r="AC19" s="50">
        <f>IF(COUNTIF($C$3:C19,C19)=1,1,IF(COUNTIF($E$3:E19,E19)=1,2,0))</f>
        <v>2</v>
      </c>
      <c r="AD19" s="50" t="str">
        <f>IF(ISNUMBER(SEARCH("-",Database[[#This Row],[KEYNOTE '#]])),LEFT(Database[[#This Row],[KEYNOTE '#]],FIND("-",Database[[#This Row],[KEYNOTE '#]])-1),Database[[#This Row],[KEYNOTE '#]])</f>
        <v>MTL</v>
      </c>
      <c r="AE1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9" s="50" t="str">
        <f>IF(AND(ISNUMBER(SEARCH("-",Database[[#This Row],[KEYNOTE '#]]))=TRUE,ISNUMBER(--RIGHT(Database[[#This Row],[KEYNOTE '#]]))=FALSE),RIGHT(Database[[#This Row],[KEYNOTE '#]],1),"")</f>
        <v/>
      </c>
      <c r="AG19" s="50">
        <v>17</v>
      </c>
      <c r="AH19" s="50" t="str">
        <f>IF(COUNTIF(Database[[#This Row],[BASE]:[INT. OTHER]],"g"),"INTERIOR",IF(COUNTIF(Database[[#This Row],[ROOF]:[EXT. OTHER]],"n"),"EXTERIOR",Database[[#This Row],[DIVISION '#]]))</f>
        <v>INTERIOR</v>
      </c>
      <c r="AI19" s="50" t="str">
        <f>IF(OR(Database[[#This Row],[KEYTIER1]]="INTERIOR",Database[[#This Row],[KEYTIER1]]="EXTERIOR"),"",Database[[#This Row],[DIVISION NAME]])</f>
        <v/>
      </c>
      <c r="AJ19" s="50" t="str">
        <f>IF(Database[[#This Row],[KEYTIER1]]="INTERIOR","INT",IF(Database[[#This Row],[KEYTIER1]]="EXTERIOR","EXT",Database[[#This Row],[SECTION '#]]))</f>
        <v>INT</v>
      </c>
      <c r="AK19" s="50" t="str">
        <f>IF(OR(Database[[#This Row],[KEYTIER2]]="INT",Database[[#This Row],[KEYTIER2]]="EXT"),"",IF(Database[[#This Row],[SECTION NAME]]="","",Database[[#This Row],[SECTION NAME]]))</f>
        <v/>
      </c>
    </row>
    <row r="20" spans="2:37" x14ac:dyDescent="0.35">
      <c r="B20" s="50" t="s">
        <v>36</v>
      </c>
      <c r="C20" s="50">
        <v>5</v>
      </c>
      <c r="D20" s="50" t="s">
        <v>49</v>
      </c>
      <c r="E20" s="50">
        <v>57000</v>
      </c>
      <c r="F20" s="53" t="s">
        <v>294</v>
      </c>
      <c r="G20" s="72" t="s">
        <v>297</v>
      </c>
      <c r="H20" s="53" t="s">
        <v>298</v>
      </c>
      <c r="I20" s="64"/>
      <c r="J20" s="52"/>
      <c r="K20" s="52"/>
      <c r="L20" s="52"/>
      <c r="M20" s="52"/>
      <c r="N20" s="54" t="s">
        <v>38</v>
      </c>
      <c r="O20" s="66"/>
      <c r="P20" s="51"/>
      <c r="Q20" s="51"/>
      <c r="R20" s="51"/>
      <c r="S20" s="51"/>
      <c r="T20" s="55"/>
      <c r="U20" s="69"/>
      <c r="V20" s="50"/>
      <c r="W20" s="50"/>
      <c r="X20" s="50"/>
      <c r="Y20" s="50"/>
      <c r="Z20" s="50"/>
      <c r="AA20" s="50"/>
      <c r="AB20" s="50"/>
      <c r="AC20" s="50">
        <f>IF(COUNTIF($C$3:C20,C20)=1,1,IF(COUNTIF($E$3:E20,E20)=1,2,0))</f>
        <v>0</v>
      </c>
      <c r="AD20" s="50" t="str">
        <f>IF(ISNUMBER(SEARCH("-",Database[[#This Row],[KEYNOTE '#]])),LEFT(Database[[#This Row],[KEYNOTE '#]],FIND("-",Database[[#This Row],[KEYNOTE '#]])-1),Database[[#This Row],[KEYNOTE '#]])</f>
        <v>MTL</v>
      </c>
      <c r="AE2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20" s="50" t="str">
        <f>IF(AND(ISNUMBER(SEARCH("-",Database[[#This Row],[KEYNOTE '#]]))=TRUE,ISNUMBER(--RIGHT(Database[[#This Row],[KEYNOTE '#]]))=FALSE),RIGHT(Database[[#This Row],[KEYNOTE '#]],1),"")</f>
        <v/>
      </c>
      <c r="AG20" s="50">
        <v>18</v>
      </c>
      <c r="AH20" s="50" t="str">
        <f>IF(COUNTIF(Database[[#This Row],[BASE]:[INT. OTHER]],"g"),"INTERIOR",IF(COUNTIF(Database[[#This Row],[ROOF]:[EXT. OTHER]],"n"),"EXTERIOR",Database[[#This Row],[DIVISION '#]]))</f>
        <v>INTERIOR</v>
      </c>
      <c r="AI20" s="50" t="str">
        <f>IF(OR(Database[[#This Row],[KEYTIER1]]="INTERIOR",Database[[#This Row],[KEYTIER1]]="EXTERIOR"),"",Database[[#This Row],[DIVISION NAME]])</f>
        <v/>
      </c>
      <c r="AJ20" s="50" t="str">
        <f>IF(Database[[#This Row],[KEYTIER1]]="INTERIOR","INT",IF(Database[[#This Row],[KEYTIER1]]="EXTERIOR","EXT",Database[[#This Row],[SECTION '#]]))</f>
        <v>INT</v>
      </c>
      <c r="AK20" s="50" t="str">
        <f>IF(OR(Database[[#This Row],[KEYTIER2]]="INT",Database[[#This Row],[KEYTIER2]]="EXT"),"",IF(Database[[#This Row],[SECTION NAME]]="","",Database[[#This Row],[SECTION NAME]]))</f>
        <v/>
      </c>
    </row>
    <row r="21" spans="2:37" x14ac:dyDescent="0.35">
      <c r="B21" s="50" t="s">
        <v>36</v>
      </c>
      <c r="C21" s="50">
        <v>5</v>
      </c>
      <c r="D21" s="50" t="s">
        <v>49</v>
      </c>
      <c r="E21" s="50">
        <v>57000</v>
      </c>
      <c r="F21" s="53" t="s">
        <v>294</v>
      </c>
      <c r="G21" s="72" t="s">
        <v>299</v>
      </c>
      <c r="H21" s="53" t="s">
        <v>300</v>
      </c>
      <c r="I21" s="64"/>
      <c r="J21" s="52"/>
      <c r="K21" s="52"/>
      <c r="L21" s="52"/>
      <c r="M21" s="52"/>
      <c r="N21" s="54" t="s">
        <v>38</v>
      </c>
      <c r="O21" s="66"/>
      <c r="P21" s="51"/>
      <c r="Q21" s="51"/>
      <c r="R21" s="51"/>
      <c r="S21" s="51"/>
      <c r="T21" s="55"/>
      <c r="U21" s="69"/>
      <c r="V21" s="50"/>
      <c r="W21" s="50"/>
      <c r="X21" s="50"/>
      <c r="Y21" s="50"/>
      <c r="Z21" s="50"/>
      <c r="AA21" s="50"/>
      <c r="AB21" s="50"/>
      <c r="AC21" s="50">
        <f>IF(COUNTIF($C$3:C21,C21)=1,1,IF(COUNTIF($E$3:E21,E21)=1,2,0))</f>
        <v>0</v>
      </c>
      <c r="AD21" s="50" t="str">
        <f>IF(ISNUMBER(SEARCH("-",Database[[#This Row],[KEYNOTE '#]])),LEFT(Database[[#This Row],[KEYNOTE '#]],FIND("-",Database[[#This Row],[KEYNOTE '#]])-1),Database[[#This Row],[KEYNOTE '#]])</f>
        <v>MTL</v>
      </c>
      <c r="AE2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21" s="50" t="str">
        <f>IF(AND(ISNUMBER(SEARCH("-",Database[[#This Row],[KEYNOTE '#]]))=TRUE,ISNUMBER(--RIGHT(Database[[#This Row],[KEYNOTE '#]]))=FALSE),RIGHT(Database[[#This Row],[KEYNOTE '#]],1),"")</f>
        <v/>
      </c>
      <c r="AG21" s="50">
        <v>19</v>
      </c>
      <c r="AH21" s="50" t="str">
        <f>IF(COUNTIF(Database[[#This Row],[BASE]:[INT. OTHER]],"g"),"INTERIOR",IF(COUNTIF(Database[[#This Row],[ROOF]:[EXT. OTHER]],"n"),"EXTERIOR",Database[[#This Row],[DIVISION '#]]))</f>
        <v>INTERIOR</v>
      </c>
      <c r="AI21" s="50" t="str">
        <f>IF(OR(Database[[#This Row],[KEYTIER1]]="INTERIOR",Database[[#This Row],[KEYTIER1]]="EXTERIOR"),"",Database[[#This Row],[DIVISION NAME]])</f>
        <v/>
      </c>
      <c r="AJ21" s="50" t="str">
        <f>IF(Database[[#This Row],[KEYTIER1]]="INTERIOR","INT",IF(Database[[#This Row],[KEYTIER1]]="EXTERIOR","EXT",Database[[#This Row],[SECTION '#]]))</f>
        <v>INT</v>
      </c>
      <c r="AK21" s="50" t="str">
        <f>IF(OR(Database[[#This Row],[KEYTIER2]]="INT",Database[[#This Row],[KEYTIER2]]="EXT"),"",IF(Database[[#This Row],[SECTION NAME]]="","",Database[[#This Row],[SECTION NAME]]))</f>
        <v/>
      </c>
    </row>
    <row r="22" spans="2:37" x14ac:dyDescent="0.35">
      <c r="B22" s="50" t="s">
        <v>36</v>
      </c>
      <c r="C22" s="50">
        <v>5</v>
      </c>
      <c r="D22" s="50" t="s">
        <v>49</v>
      </c>
      <c r="E22" s="50">
        <v>57000</v>
      </c>
      <c r="F22" s="53" t="s">
        <v>294</v>
      </c>
      <c r="G22" s="72" t="s">
        <v>301</v>
      </c>
      <c r="H22" s="53" t="s">
        <v>302</v>
      </c>
      <c r="I22" s="64"/>
      <c r="J22" s="52"/>
      <c r="K22" s="52"/>
      <c r="L22" s="52"/>
      <c r="M22" s="52"/>
      <c r="N22" s="54" t="s">
        <v>38</v>
      </c>
      <c r="O22" s="66"/>
      <c r="P22" s="51"/>
      <c r="Q22" s="51"/>
      <c r="R22" s="51"/>
      <c r="S22" s="51"/>
      <c r="T22" s="55"/>
      <c r="U22" s="69"/>
      <c r="V22" s="50"/>
      <c r="W22" s="50"/>
      <c r="X22" s="50"/>
      <c r="Y22" s="50"/>
      <c r="Z22" s="50"/>
      <c r="AA22" s="50"/>
      <c r="AB22" s="50"/>
      <c r="AC22" s="50">
        <f>IF(COUNTIF($C$3:C22,C22)=1,1,IF(COUNTIF($E$3:E22,E22)=1,2,0))</f>
        <v>0</v>
      </c>
      <c r="AD22" s="50" t="str">
        <f>IF(ISNUMBER(SEARCH("-",Database[[#This Row],[KEYNOTE '#]])),LEFT(Database[[#This Row],[KEYNOTE '#]],FIND("-",Database[[#This Row],[KEYNOTE '#]])-1),Database[[#This Row],[KEYNOTE '#]])</f>
        <v>MTL</v>
      </c>
      <c r="AE2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22" s="50" t="str">
        <f>IF(AND(ISNUMBER(SEARCH("-",Database[[#This Row],[KEYNOTE '#]]))=TRUE,ISNUMBER(--RIGHT(Database[[#This Row],[KEYNOTE '#]]))=FALSE),RIGHT(Database[[#This Row],[KEYNOTE '#]],1),"")</f>
        <v/>
      </c>
      <c r="AG22" s="50">
        <v>20</v>
      </c>
      <c r="AH22" s="50" t="str">
        <f>IF(COUNTIF(Database[[#This Row],[BASE]:[INT. OTHER]],"g"),"INTERIOR",IF(COUNTIF(Database[[#This Row],[ROOF]:[EXT. OTHER]],"n"),"EXTERIOR",Database[[#This Row],[DIVISION '#]]))</f>
        <v>INTERIOR</v>
      </c>
      <c r="AI22" s="50" t="str">
        <f>IF(OR(Database[[#This Row],[KEYTIER1]]="INTERIOR",Database[[#This Row],[KEYTIER1]]="EXTERIOR"),"",Database[[#This Row],[DIVISION NAME]])</f>
        <v/>
      </c>
      <c r="AJ22" s="50" t="str">
        <f>IF(Database[[#This Row],[KEYTIER1]]="INTERIOR","INT",IF(Database[[#This Row],[KEYTIER1]]="EXTERIOR","EXT",Database[[#This Row],[SECTION '#]]))</f>
        <v>INT</v>
      </c>
      <c r="AK22" s="50" t="str">
        <f>IF(OR(Database[[#This Row],[KEYTIER2]]="INT",Database[[#This Row],[KEYTIER2]]="EXT"),"",IF(Database[[#This Row],[SECTION NAME]]="","",Database[[#This Row],[SECTION NAME]]))</f>
        <v/>
      </c>
    </row>
    <row r="23" spans="2:37" ht="29" x14ac:dyDescent="0.35">
      <c r="B23" s="50" t="s">
        <v>36</v>
      </c>
      <c r="C23" s="50">
        <v>5</v>
      </c>
      <c r="D23" s="50" t="s">
        <v>49</v>
      </c>
      <c r="E23" s="50">
        <v>57000</v>
      </c>
      <c r="F23" s="53" t="s">
        <v>294</v>
      </c>
      <c r="G23" s="72" t="s">
        <v>53</v>
      </c>
      <c r="H23" s="53" t="s">
        <v>303</v>
      </c>
      <c r="I23" s="64"/>
      <c r="J23" s="52"/>
      <c r="K23" s="52"/>
      <c r="L23" s="52"/>
      <c r="M23" s="52"/>
      <c r="N23" s="54"/>
      <c r="O23" s="66"/>
      <c r="P23" s="51"/>
      <c r="Q23" s="51"/>
      <c r="R23" s="51"/>
      <c r="S23" s="51"/>
      <c r="T23" s="55" t="s">
        <v>40</v>
      </c>
      <c r="U23" s="69"/>
      <c r="V23" s="50"/>
      <c r="W23" s="50"/>
      <c r="X23" s="50"/>
      <c r="Y23" s="50"/>
      <c r="Z23" s="50"/>
      <c r="AA23" s="50"/>
      <c r="AB23" s="50"/>
      <c r="AC23" s="50">
        <f>IF(COUNTIF($C$3:C23,C23)=1,1,IF(COUNTIF($E$3:E23,E23)=1,2,0))</f>
        <v>0</v>
      </c>
      <c r="AD23" s="50" t="str">
        <f>IF(ISNUMBER(SEARCH("-",Database[[#This Row],[KEYNOTE '#]])),LEFT(Database[[#This Row],[KEYNOTE '#]],FIND("-",Database[[#This Row],[KEYNOTE '#]])-1),Database[[#This Row],[KEYNOTE '#]])</f>
        <v>MTL</v>
      </c>
      <c r="AE2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23" s="50" t="str">
        <f>IF(AND(ISNUMBER(SEARCH("-",Database[[#This Row],[KEYNOTE '#]]))=TRUE,ISNUMBER(--RIGHT(Database[[#This Row],[KEYNOTE '#]]))=FALSE),RIGHT(Database[[#This Row],[KEYNOTE '#]],1),"")</f>
        <v/>
      </c>
      <c r="AG23" s="50">
        <v>21</v>
      </c>
      <c r="AH23" s="50" t="str">
        <f>IF(COUNTIF(Database[[#This Row],[BASE]:[INT. OTHER]],"g"),"INTERIOR",IF(COUNTIF(Database[[#This Row],[ROOF]:[EXT. OTHER]],"n"),"EXTERIOR",Database[[#This Row],[DIVISION '#]]))</f>
        <v>EXTERIOR</v>
      </c>
      <c r="AI23" s="50" t="str">
        <f>IF(OR(Database[[#This Row],[KEYTIER1]]="INTERIOR",Database[[#This Row],[KEYTIER1]]="EXTERIOR"),"",Database[[#This Row],[DIVISION NAME]])</f>
        <v/>
      </c>
      <c r="AJ23" s="50" t="str">
        <f>IF(Database[[#This Row],[KEYTIER1]]="INTERIOR","INT",IF(Database[[#This Row],[KEYTIER1]]="EXTERIOR","EXT",Database[[#This Row],[SECTION '#]]))</f>
        <v>EXT</v>
      </c>
      <c r="AK23" s="50" t="str">
        <f>IF(OR(Database[[#This Row],[KEYTIER2]]="INT",Database[[#This Row],[KEYTIER2]]="EXT"),"",IF(Database[[#This Row],[SECTION NAME]]="","",Database[[#This Row],[SECTION NAME]]))</f>
        <v/>
      </c>
    </row>
    <row r="24" spans="2:37" ht="29" x14ac:dyDescent="0.35">
      <c r="B24" s="50" t="s">
        <v>36</v>
      </c>
      <c r="C24" s="50">
        <v>5</v>
      </c>
      <c r="D24" s="50" t="s">
        <v>49</v>
      </c>
      <c r="E24" s="50">
        <v>57300</v>
      </c>
      <c r="F24" s="53" t="s">
        <v>304</v>
      </c>
      <c r="G24" s="72" t="s">
        <v>55</v>
      </c>
      <c r="H24" s="53" t="s">
        <v>305</v>
      </c>
      <c r="I24" s="64"/>
      <c r="J24" s="52"/>
      <c r="K24" s="52"/>
      <c r="L24" s="52"/>
      <c r="M24" s="52"/>
      <c r="N24" s="54"/>
      <c r="O24" s="66"/>
      <c r="P24" s="51"/>
      <c r="Q24" s="51"/>
      <c r="R24" s="51"/>
      <c r="S24" s="51"/>
      <c r="T24" s="55" t="s">
        <v>40</v>
      </c>
      <c r="U24" s="69"/>
      <c r="V24" s="50"/>
      <c r="W24" s="50"/>
      <c r="X24" s="50"/>
      <c r="Y24" s="50"/>
      <c r="Z24" s="50"/>
      <c r="AA24" s="50"/>
      <c r="AB24" s="50"/>
      <c r="AC24" s="50">
        <f>IF(COUNTIF($C$3:C24,C24)=1,1,IF(COUNTIF($E$3:E24,E24)=1,2,0))</f>
        <v>2</v>
      </c>
      <c r="AD24" s="50" t="str">
        <f>IF(ISNUMBER(SEARCH("-",Database[[#This Row],[KEYNOTE '#]])),LEFT(Database[[#This Row],[KEYNOTE '#]],FIND("-",Database[[#This Row],[KEYNOTE '#]])-1),Database[[#This Row],[KEYNOTE '#]])</f>
        <v>RLG</v>
      </c>
      <c r="AE2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52</v>
      </c>
      <c r="AF24" s="50" t="str">
        <f>IF(AND(ISNUMBER(SEARCH("-",Database[[#This Row],[KEYNOTE '#]]))=TRUE,ISNUMBER(--RIGHT(Database[[#This Row],[KEYNOTE '#]]))=FALSE),RIGHT(Database[[#This Row],[KEYNOTE '#]],1),"")</f>
        <v/>
      </c>
      <c r="AG24" s="50">
        <v>22</v>
      </c>
      <c r="AH24" s="50" t="str">
        <f>IF(COUNTIF(Database[[#This Row],[BASE]:[INT. OTHER]],"g"),"INTERIOR",IF(COUNTIF(Database[[#This Row],[ROOF]:[EXT. OTHER]],"n"),"EXTERIOR",Database[[#This Row],[DIVISION '#]]))</f>
        <v>EXTERIOR</v>
      </c>
      <c r="AI24" s="50" t="str">
        <f>IF(OR(Database[[#This Row],[KEYTIER1]]="INTERIOR",Database[[#This Row],[KEYTIER1]]="EXTERIOR"),"",Database[[#This Row],[DIVISION NAME]])</f>
        <v/>
      </c>
      <c r="AJ24" s="50" t="str">
        <f>IF(Database[[#This Row],[KEYTIER1]]="INTERIOR","INT",IF(Database[[#This Row],[KEYTIER1]]="EXTERIOR","EXT",Database[[#This Row],[SECTION '#]]))</f>
        <v>EXT</v>
      </c>
      <c r="AK24" s="50" t="str">
        <f>IF(OR(Database[[#This Row],[KEYTIER2]]="INT",Database[[#This Row],[KEYTIER2]]="EXT"),"",IF(Database[[#This Row],[SECTION NAME]]="","",Database[[#This Row],[SECTION NAME]]))</f>
        <v/>
      </c>
    </row>
    <row r="25" spans="2:37" ht="43.5" x14ac:dyDescent="0.35">
      <c r="B25" s="50" t="s">
        <v>36</v>
      </c>
      <c r="C25" s="50">
        <v>6</v>
      </c>
      <c r="D25" s="50" t="s">
        <v>56</v>
      </c>
      <c r="E25" s="50">
        <v>64000</v>
      </c>
      <c r="F25" s="53" t="s">
        <v>306</v>
      </c>
      <c r="G25" s="72" t="s">
        <v>307</v>
      </c>
      <c r="H25" s="53" t="s">
        <v>308</v>
      </c>
      <c r="I25" s="64"/>
      <c r="J25" s="52"/>
      <c r="K25" s="52"/>
      <c r="L25" s="52"/>
      <c r="M25" s="52" t="s">
        <v>38</v>
      </c>
      <c r="N25" s="54"/>
      <c r="O25" s="66"/>
      <c r="P25" s="51"/>
      <c r="Q25" s="51"/>
      <c r="R25" s="51"/>
      <c r="S25" s="51"/>
      <c r="T25" s="55"/>
      <c r="U25" s="69"/>
      <c r="V25" s="50"/>
      <c r="W25" s="50"/>
      <c r="X25" s="50"/>
      <c r="Y25" s="50"/>
      <c r="Z25" s="50"/>
      <c r="AA25" s="50"/>
      <c r="AB25" s="50"/>
      <c r="AC25" s="50">
        <f>IF(COUNTIF($C$3:C25,C25)=1,1,IF(COUNTIF($E$3:E25,E25)=1,2,0))</f>
        <v>1</v>
      </c>
      <c r="AD25" s="50" t="str">
        <f>IF(ISNUMBER(SEARCH("-",Database[[#This Row],[KEYNOTE '#]])),LEFT(Database[[#This Row],[KEYNOTE '#]],FIND("-",Database[[#This Row],[KEYNOTE '#]])-1),Database[[#This Row],[KEYNOTE '#]])</f>
        <v>WD</v>
      </c>
      <c r="AE2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5" s="50" t="str">
        <f>IF(AND(ISNUMBER(SEARCH("-",Database[[#This Row],[KEYNOTE '#]]))=TRUE,ISNUMBER(--RIGHT(Database[[#This Row],[KEYNOTE '#]]))=FALSE),RIGHT(Database[[#This Row],[KEYNOTE '#]],1),"")</f>
        <v/>
      </c>
      <c r="AG25" s="50">
        <v>23</v>
      </c>
      <c r="AH25" s="50" t="str">
        <f>IF(COUNTIF(Database[[#This Row],[BASE]:[INT. OTHER]],"g"),"INTERIOR",IF(COUNTIF(Database[[#This Row],[ROOF]:[EXT. OTHER]],"n"),"EXTERIOR",Database[[#This Row],[DIVISION '#]]))</f>
        <v>INTERIOR</v>
      </c>
      <c r="AI25" s="50" t="str">
        <f>IF(OR(Database[[#This Row],[KEYTIER1]]="INTERIOR",Database[[#This Row],[KEYTIER1]]="EXTERIOR"),"",Database[[#This Row],[DIVISION NAME]])</f>
        <v/>
      </c>
      <c r="AJ25" s="50" t="str">
        <f>IF(Database[[#This Row],[KEYTIER1]]="INTERIOR","INT",IF(Database[[#This Row],[KEYTIER1]]="EXTERIOR","EXT",Database[[#This Row],[SECTION '#]]))</f>
        <v>INT</v>
      </c>
      <c r="AK25" s="50" t="str">
        <f>IF(OR(Database[[#This Row],[KEYTIER2]]="INT",Database[[#This Row],[KEYTIER2]]="EXT"),"",IF(Database[[#This Row],[SECTION NAME]]="","",Database[[#This Row],[SECTION NAME]]))</f>
        <v/>
      </c>
    </row>
    <row r="26" spans="2:37" ht="43.5" x14ac:dyDescent="0.35">
      <c r="B26" s="50" t="s">
        <v>36</v>
      </c>
      <c r="C26" s="50">
        <v>6</v>
      </c>
      <c r="D26" s="50" t="s">
        <v>56</v>
      </c>
      <c r="E26" s="50">
        <v>64023</v>
      </c>
      <c r="F26" s="53" t="s">
        <v>309</v>
      </c>
      <c r="G26" s="72" t="s">
        <v>310</v>
      </c>
      <c r="H26" s="53" t="s">
        <v>311</v>
      </c>
      <c r="I26" s="64" t="s">
        <v>38</v>
      </c>
      <c r="J26" s="52"/>
      <c r="K26" s="52"/>
      <c r="L26" s="52"/>
      <c r="M26" s="52"/>
      <c r="N26" s="54"/>
      <c r="O26" s="66"/>
      <c r="P26" s="51"/>
      <c r="Q26" s="51"/>
      <c r="R26" s="51"/>
      <c r="S26" s="51"/>
      <c r="T26" s="55"/>
      <c r="U26" s="69"/>
      <c r="V26" s="50"/>
      <c r="W26" s="50"/>
      <c r="X26" s="50"/>
      <c r="Y26" s="50"/>
      <c r="Z26" s="50"/>
      <c r="AA26" s="50"/>
      <c r="AB26" s="50"/>
      <c r="AC26" s="50">
        <f>IF(COUNTIF($C$3:C26,C26)=1,1,IF(COUNTIF($E$3:E26,E26)=1,2,0))</f>
        <v>2</v>
      </c>
      <c r="AD26" s="50" t="str">
        <f>IF(ISNUMBER(SEARCH("-",Database[[#This Row],[KEYNOTE '#]])),LEFT(Database[[#This Row],[KEYNOTE '#]],FIND("-",Database[[#This Row],[KEYNOTE '#]])-1),Database[[#This Row],[KEYNOTE '#]])</f>
        <v>WB</v>
      </c>
      <c r="AE2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6" s="50" t="str">
        <f>IF(AND(ISNUMBER(SEARCH("-",Database[[#This Row],[KEYNOTE '#]]))=TRUE,ISNUMBER(--RIGHT(Database[[#This Row],[KEYNOTE '#]]))=FALSE),RIGHT(Database[[#This Row],[KEYNOTE '#]],1),"")</f>
        <v/>
      </c>
      <c r="AG26" s="50">
        <v>24</v>
      </c>
      <c r="AH26" s="50" t="str">
        <f>IF(COUNTIF(Database[[#This Row],[BASE]:[INT. OTHER]],"g"),"INTERIOR",IF(COUNTIF(Database[[#This Row],[ROOF]:[EXT. OTHER]],"n"),"EXTERIOR",Database[[#This Row],[DIVISION '#]]))</f>
        <v>INTERIOR</v>
      </c>
      <c r="AI26" s="50" t="str">
        <f>IF(OR(Database[[#This Row],[KEYTIER1]]="INTERIOR",Database[[#This Row],[KEYTIER1]]="EXTERIOR"),"",Database[[#This Row],[DIVISION NAME]])</f>
        <v/>
      </c>
      <c r="AJ26" s="50" t="str">
        <f>IF(Database[[#This Row],[KEYTIER1]]="INTERIOR","INT",IF(Database[[#This Row],[KEYTIER1]]="EXTERIOR","EXT",Database[[#This Row],[SECTION '#]]))</f>
        <v>INT</v>
      </c>
      <c r="AK26" s="50" t="str">
        <f>IF(OR(Database[[#This Row],[KEYTIER2]]="INT",Database[[#This Row],[KEYTIER2]]="EXT"),"",IF(Database[[#This Row],[SECTION NAME]]="","",Database[[#This Row],[SECTION NAME]]))</f>
        <v/>
      </c>
    </row>
    <row r="27" spans="2:37" ht="43.5" x14ac:dyDescent="0.35">
      <c r="B27" s="50" t="s">
        <v>36</v>
      </c>
      <c r="C27" s="50">
        <v>6</v>
      </c>
      <c r="D27" s="50" t="s">
        <v>56</v>
      </c>
      <c r="E27" s="50">
        <v>64116</v>
      </c>
      <c r="F27" s="53" t="s">
        <v>312</v>
      </c>
      <c r="G27" s="72" t="s">
        <v>313</v>
      </c>
      <c r="H27" s="53" t="s">
        <v>314</v>
      </c>
      <c r="I27" s="64"/>
      <c r="J27" s="52"/>
      <c r="K27" s="52"/>
      <c r="L27" s="52"/>
      <c r="M27" s="52" t="s">
        <v>38</v>
      </c>
      <c r="N27" s="54"/>
      <c r="O27" s="66"/>
      <c r="P27" s="51"/>
      <c r="Q27" s="51"/>
      <c r="R27" s="51"/>
      <c r="S27" s="51"/>
      <c r="T27" s="55"/>
      <c r="U27" s="69"/>
      <c r="V27" s="50"/>
      <c r="W27" s="50"/>
      <c r="X27" s="50"/>
      <c r="Y27" s="50"/>
      <c r="Z27" s="50"/>
      <c r="AA27" s="50"/>
      <c r="AB27" s="50"/>
      <c r="AC27" s="50">
        <f>IF(COUNTIF($C$3:C27,C27)=1,1,IF(COUNTIF($E$3:E27,E27)=1,2,0))</f>
        <v>2</v>
      </c>
      <c r="AD27" s="50" t="str">
        <f>IF(ISNUMBER(SEARCH("-",Database[[#This Row],[KEYNOTE '#]])),LEFT(Database[[#This Row],[KEYNOTE '#]],FIND("-",Database[[#This Row],[KEYNOTE '#]])-1),Database[[#This Row],[KEYNOTE '#]])</f>
        <v>PLM</v>
      </c>
      <c r="AE2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7" s="50" t="str">
        <f>IF(AND(ISNUMBER(SEARCH("-",Database[[#This Row],[KEYNOTE '#]]))=TRUE,ISNUMBER(--RIGHT(Database[[#This Row],[KEYNOTE '#]]))=FALSE),RIGHT(Database[[#This Row],[KEYNOTE '#]],1),"")</f>
        <v/>
      </c>
      <c r="AG27" s="50">
        <v>25</v>
      </c>
      <c r="AH27" s="50" t="str">
        <f>IF(COUNTIF(Database[[#This Row],[BASE]:[INT. OTHER]],"g"),"INTERIOR",IF(COUNTIF(Database[[#This Row],[ROOF]:[EXT. OTHER]],"n"),"EXTERIOR",Database[[#This Row],[DIVISION '#]]))</f>
        <v>INTERIOR</v>
      </c>
      <c r="AI27" s="50" t="str">
        <f>IF(OR(Database[[#This Row],[KEYTIER1]]="INTERIOR",Database[[#This Row],[KEYTIER1]]="EXTERIOR"),"",Database[[#This Row],[DIVISION NAME]])</f>
        <v/>
      </c>
      <c r="AJ27" s="50" t="str">
        <f>IF(Database[[#This Row],[KEYTIER1]]="INTERIOR","INT",IF(Database[[#This Row],[KEYTIER1]]="EXTERIOR","EXT",Database[[#This Row],[SECTION '#]]))</f>
        <v>INT</v>
      </c>
      <c r="AK27" s="50" t="str">
        <f>IF(OR(Database[[#This Row],[KEYTIER2]]="INT",Database[[#This Row],[KEYTIER2]]="EXT"),"",IF(Database[[#This Row],[SECTION NAME]]="","",Database[[#This Row],[SECTION NAME]]))</f>
        <v/>
      </c>
    </row>
    <row r="28" spans="2:37" ht="43.5" x14ac:dyDescent="0.35">
      <c r="B28" s="50" t="s">
        <v>36</v>
      </c>
      <c r="C28" s="50">
        <v>6</v>
      </c>
      <c r="D28" s="50" t="s">
        <v>56</v>
      </c>
      <c r="E28" s="50">
        <v>64200</v>
      </c>
      <c r="F28" s="53" t="s">
        <v>315</v>
      </c>
      <c r="G28" s="72" t="s">
        <v>316</v>
      </c>
      <c r="H28" s="53" t="s">
        <v>317</v>
      </c>
      <c r="I28" s="64"/>
      <c r="J28" s="52" t="s">
        <v>38</v>
      </c>
      <c r="K28" s="52"/>
      <c r="L28" s="52"/>
      <c r="M28" s="52"/>
      <c r="N28" s="54"/>
      <c r="O28" s="66"/>
      <c r="P28" s="51"/>
      <c r="Q28" s="51"/>
      <c r="R28" s="51"/>
      <c r="S28" s="51"/>
      <c r="T28" s="55"/>
      <c r="U28" s="69"/>
      <c r="V28" s="50"/>
      <c r="W28" s="50"/>
      <c r="X28" s="50"/>
      <c r="Y28" s="50"/>
      <c r="Z28" s="50"/>
      <c r="AA28" s="50"/>
      <c r="AB28" s="50"/>
      <c r="AC28" s="50">
        <f>IF(COUNTIF($C$3:C28,C28)=1,1,IF(COUNTIF($E$3:E28,E28)=1,2,0))</f>
        <v>2</v>
      </c>
      <c r="AD28" s="50" t="str">
        <f>IF(ISNUMBER(SEARCH("-",Database[[#This Row],[KEYNOTE '#]])),LEFT(Database[[#This Row],[KEYNOTE '#]],FIND("-",Database[[#This Row],[KEYNOTE '#]])-1),Database[[#This Row],[KEYNOTE '#]])</f>
        <v>WV</v>
      </c>
      <c r="AE2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8" s="50" t="str">
        <f>IF(AND(ISNUMBER(SEARCH("-",Database[[#This Row],[KEYNOTE '#]]))=TRUE,ISNUMBER(--RIGHT(Database[[#This Row],[KEYNOTE '#]]))=FALSE),RIGHT(Database[[#This Row],[KEYNOTE '#]],1),"")</f>
        <v/>
      </c>
      <c r="AG28" s="50">
        <v>26</v>
      </c>
      <c r="AH28" s="50" t="str">
        <f>IF(COUNTIF(Database[[#This Row],[BASE]:[INT. OTHER]],"g"),"INTERIOR",IF(COUNTIF(Database[[#This Row],[ROOF]:[EXT. OTHER]],"n"),"EXTERIOR",Database[[#This Row],[DIVISION '#]]))</f>
        <v>INTERIOR</v>
      </c>
      <c r="AI28" s="50" t="str">
        <f>IF(OR(Database[[#This Row],[KEYTIER1]]="INTERIOR",Database[[#This Row],[KEYTIER1]]="EXTERIOR"),"",Database[[#This Row],[DIVISION NAME]])</f>
        <v/>
      </c>
      <c r="AJ28" s="50" t="str">
        <f>IF(Database[[#This Row],[KEYTIER1]]="INTERIOR","INT",IF(Database[[#This Row],[KEYTIER1]]="EXTERIOR","EXT",Database[[#This Row],[SECTION '#]]))</f>
        <v>INT</v>
      </c>
      <c r="AK28" s="50" t="str">
        <f>IF(OR(Database[[#This Row],[KEYTIER2]]="INT",Database[[#This Row],[KEYTIER2]]="EXT"),"",IF(Database[[#This Row],[SECTION NAME]]="","",Database[[#This Row],[SECTION NAME]]))</f>
        <v/>
      </c>
    </row>
    <row r="29" spans="2:37" ht="43.5" x14ac:dyDescent="0.35">
      <c r="B29" s="50" t="s">
        <v>36</v>
      </c>
      <c r="C29" s="50">
        <v>6</v>
      </c>
      <c r="D29" s="50" t="s">
        <v>56</v>
      </c>
      <c r="E29" s="50">
        <v>64313</v>
      </c>
      <c r="F29" s="53" t="s">
        <v>318</v>
      </c>
      <c r="G29" s="72" t="s">
        <v>319</v>
      </c>
      <c r="H29" s="53" t="s">
        <v>320</v>
      </c>
      <c r="I29" s="64"/>
      <c r="J29" s="52"/>
      <c r="K29" s="52"/>
      <c r="L29" s="52"/>
      <c r="M29" s="52"/>
      <c r="N29" s="54" t="s">
        <v>38</v>
      </c>
      <c r="O29" s="66"/>
      <c r="P29" s="51"/>
      <c r="Q29" s="51"/>
      <c r="R29" s="51"/>
      <c r="S29" s="51"/>
      <c r="T29" s="55"/>
      <c r="U29" s="69"/>
      <c r="V29" s="50"/>
      <c r="W29" s="50"/>
      <c r="X29" s="50"/>
      <c r="Y29" s="50"/>
      <c r="Z29" s="50"/>
      <c r="AA29" s="50"/>
      <c r="AB29" s="50"/>
      <c r="AC29" s="50">
        <f>IF(COUNTIF($C$3:C29,C29)=1,1,IF(COUNTIF($E$3:E29,E29)=1,2,0))</f>
        <v>2</v>
      </c>
      <c r="AD29" s="50" t="str">
        <f>IF(ISNUMBER(SEARCH("-",Database[[#This Row],[KEYNOTE '#]])),LEFT(Database[[#This Row],[KEYNOTE '#]],FIND("-",Database[[#This Row],[KEYNOTE '#]])-1),Database[[#This Row],[KEYNOTE '#]])</f>
        <v>WDS</v>
      </c>
      <c r="AE2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9" s="50" t="str">
        <f>IF(AND(ISNUMBER(SEARCH("-",Database[[#This Row],[KEYNOTE '#]]))=TRUE,ISNUMBER(--RIGHT(Database[[#This Row],[KEYNOTE '#]]))=FALSE),RIGHT(Database[[#This Row],[KEYNOTE '#]],1),"")</f>
        <v/>
      </c>
      <c r="AG29" s="50">
        <v>27</v>
      </c>
      <c r="AH29" s="50" t="str">
        <f>IF(COUNTIF(Database[[#This Row],[BASE]:[INT. OTHER]],"g"),"INTERIOR",IF(COUNTIF(Database[[#This Row],[ROOF]:[EXT. OTHER]],"n"),"EXTERIOR",Database[[#This Row],[DIVISION '#]]))</f>
        <v>INTERIOR</v>
      </c>
      <c r="AI29" s="50" t="str">
        <f>IF(OR(Database[[#This Row],[KEYTIER1]]="INTERIOR",Database[[#This Row],[KEYTIER1]]="EXTERIOR"),"",Database[[#This Row],[DIVISION NAME]])</f>
        <v/>
      </c>
      <c r="AJ29" s="50" t="str">
        <f>IF(Database[[#This Row],[KEYTIER1]]="INTERIOR","INT",IF(Database[[#This Row],[KEYTIER1]]="EXTERIOR","EXT",Database[[#This Row],[SECTION '#]]))</f>
        <v>INT</v>
      </c>
      <c r="AK29" s="50" t="str">
        <f>IF(OR(Database[[#This Row],[KEYTIER2]]="INT",Database[[#This Row],[KEYTIER2]]="EXT"),"",IF(Database[[#This Row],[SECTION NAME]]="","",Database[[#This Row],[SECTION NAME]]))</f>
        <v/>
      </c>
    </row>
    <row r="30" spans="2:37" ht="43.5" x14ac:dyDescent="0.35">
      <c r="B30" s="50" t="s">
        <v>36</v>
      </c>
      <c r="C30" s="50">
        <v>6</v>
      </c>
      <c r="D30" s="50" t="s">
        <v>56</v>
      </c>
      <c r="E30" s="50">
        <v>66113</v>
      </c>
      <c r="F30" s="53" t="s">
        <v>321</v>
      </c>
      <c r="G30" s="72" t="s">
        <v>322</v>
      </c>
      <c r="H30" s="53" t="s">
        <v>323</v>
      </c>
      <c r="I30" s="64"/>
      <c r="J30" s="52" t="s">
        <v>38</v>
      </c>
      <c r="K30" s="52"/>
      <c r="L30" s="52"/>
      <c r="M30" s="52"/>
      <c r="N30" s="54"/>
      <c r="O30" s="66"/>
      <c r="P30" s="51"/>
      <c r="Q30" s="51"/>
      <c r="R30" s="51"/>
      <c r="S30" s="51"/>
      <c r="T30" s="55"/>
      <c r="U30" s="69"/>
      <c r="V30" s="50"/>
      <c r="W30" s="50"/>
      <c r="X30" s="50"/>
      <c r="Y30" s="50"/>
      <c r="Z30" s="50"/>
      <c r="AA30" s="50"/>
      <c r="AB30" s="50"/>
      <c r="AC30" s="50">
        <f>IF(COUNTIF($C$3:C30,C30)=1,1,IF(COUNTIF($E$3:E30,E30)=1,2,0))</f>
        <v>2</v>
      </c>
      <c r="AD30" s="50" t="str">
        <f>IF(ISNUMBER(SEARCH("-",Database[[#This Row],[KEYNOTE '#]])),LEFT(Database[[#This Row],[KEYNOTE '#]],FIND("-",Database[[#This Row],[KEYNOTE '#]])-1),Database[[#This Row],[KEYNOTE '#]])</f>
        <v>PLR</v>
      </c>
      <c r="AE3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0" s="50" t="str">
        <f>IF(AND(ISNUMBER(SEARCH("-",Database[[#This Row],[KEYNOTE '#]]))=TRUE,ISNUMBER(--RIGHT(Database[[#This Row],[KEYNOTE '#]]))=FALSE),RIGHT(Database[[#This Row],[KEYNOTE '#]],1),"")</f>
        <v/>
      </c>
      <c r="AG30" s="50">
        <v>28</v>
      </c>
      <c r="AH30" s="50" t="str">
        <f>IF(COUNTIF(Database[[#This Row],[BASE]:[INT. OTHER]],"g"),"INTERIOR",IF(COUNTIF(Database[[#This Row],[ROOF]:[EXT. OTHER]],"n"),"EXTERIOR",Database[[#This Row],[DIVISION '#]]))</f>
        <v>INTERIOR</v>
      </c>
      <c r="AI30" s="50" t="str">
        <f>IF(OR(Database[[#This Row],[KEYTIER1]]="INTERIOR",Database[[#This Row],[KEYTIER1]]="EXTERIOR"),"",Database[[#This Row],[DIVISION NAME]])</f>
        <v/>
      </c>
      <c r="AJ30" s="50" t="str">
        <f>IF(Database[[#This Row],[KEYTIER1]]="INTERIOR","INT",IF(Database[[#This Row],[KEYTIER1]]="EXTERIOR","EXT",Database[[#This Row],[SECTION '#]]))</f>
        <v>INT</v>
      </c>
      <c r="AK30" s="50" t="str">
        <f>IF(OR(Database[[#This Row],[KEYTIER2]]="INT",Database[[#This Row],[KEYTIER2]]="EXT"),"",IF(Database[[#This Row],[SECTION NAME]]="","",Database[[#This Row],[SECTION NAME]]))</f>
        <v/>
      </c>
    </row>
    <row r="31" spans="2:37" ht="116" x14ac:dyDescent="0.35">
      <c r="B31" s="50" t="s">
        <v>36</v>
      </c>
      <c r="C31" s="50">
        <v>7</v>
      </c>
      <c r="D31" s="50" t="s">
        <v>57</v>
      </c>
      <c r="E31" s="50">
        <v>71413</v>
      </c>
      <c r="F31" s="53" t="s">
        <v>324</v>
      </c>
      <c r="G31" s="72" t="s">
        <v>325</v>
      </c>
      <c r="H31" s="53" t="s">
        <v>326</v>
      </c>
      <c r="I31" s="64"/>
      <c r="J31" s="52"/>
      <c r="K31" s="52"/>
      <c r="L31" s="52"/>
      <c r="M31" s="52"/>
      <c r="N31" s="54"/>
      <c r="O31" s="66"/>
      <c r="P31" s="51"/>
      <c r="Q31" s="51"/>
      <c r="R31" s="51"/>
      <c r="S31" s="51"/>
      <c r="T31" s="55"/>
      <c r="U31" s="69"/>
      <c r="V31" s="50"/>
      <c r="W31" s="50"/>
      <c r="X31" s="50"/>
      <c r="Y31" s="50"/>
      <c r="Z31" s="50"/>
      <c r="AA31" s="50"/>
      <c r="AB31" s="50"/>
      <c r="AC31" s="50">
        <f>IF(COUNTIF($C$3:C31,C31)=1,1,IF(COUNTIF($E$3:E31,E31)=1,2,0))</f>
        <v>1</v>
      </c>
      <c r="AD31" s="50" t="str">
        <f>IF(ISNUMBER(SEARCH("-",Database[[#This Row],[KEYNOTE '#]])),LEFT(Database[[#This Row],[KEYNOTE '#]],FIND("-",Database[[#This Row],[KEYNOTE '#]])-1),Database[[#This Row],[KEYNOTE '#]])</f>
        <v>WP</v>
      </c>
      <c r="AE3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1" s="50" t="str">
        <f>IF(AND(ISNUMBER(SEARCH("-",Database[[#This Row],[KEYNOTE '#]]))=TRUE,ISNUMBER(--RIGHT(Database[[#This Row],[KEYNOTE '#]]))=FALSE),RIGHT(Database[[#This Row],[KEYNOTE '#]],1),"")</f>
        <v/>
      </c>
      <c r="AG31" s="50">
        <v>29</v>
      </c>
      <c r="AH31" s="50">
        <f>IF(COUNTIF(Database[[#This Row],[BASE]:[INT. OTHER]],"g"),"INTERIOR",IF(COUNTIF(Database[[#This Row],[ROOF]:[EXT. OTHER]],"n"),"EXTERIOR",Database[[#This Row],[DIVISION '#]]))</f>
        <v>7</v>
      </c>
      <c r="AI31" s="50" t="str">
        <f>IF(OR(Database[[#This Row],[KEYTIER1]]="INTERIOR",Database[[#This Row],[KEYTIER1]]="EXTERIOR"),"",Database[[#This Row],[DIVISION NAME]])</f>
        <v>DIVISION 07 - THERMAL AND MOISTURE PROTECTION</v>
      </c>
      <c r="AJ31" s="50">
        <f>IF(Database[[#This Row],[KEYTIER1]]="INTERIOR","INT",IF(Database[[#This Row],[KEYTIER1]]="EXTERIOR","EXT",Database[[#This Row],[SECTION '#]]))</f>
        <v>71413</v>
      </c>
      <c r="AK31" s="50" t="str">
        <f>IF(OR(Database[[#This Row],[KEYTIER2]]="INT",Database[[#This Row],[KEYTIER2]]="EXT"),"",IF(Database[[#This Row],[SECTION NAME]]="","",Database[[#This Row],[SECTION NAME]]))</f>
        <v>SECTION 71413 - MEMBRANE WATERPROOFING</v>
      </c>
    </row>
    <row r="32" spans="2:37" ht="116" x14ac:dyDescent="0.35">
      <c r="B32" s="50" t="s">
        <v>36</v>
      </c>
      <c r="C32" s="50">
        <v>7</v>
      </c>
      <c r="D32" s="50" t="s">
        <v>57</v>
      </c>
      <c r="E32" s="50">
        <v>74213</v>
      </c>
      <c r="F32" s="53" t="s">
        <v>327</v>
      </c>
      <c r="G32" s="72" t="s">
        <v>58</v>
      </c>
      <c r="H32" s="53" t="s">
        <v>328</v>
      </c>
      <c r="I32" s="64"/>
      <c r="J32" s="52"/>
      <c r="K32" s="52"/>
      <c r="L32" s="52"/>
      <c r="M32" s="52"/>
      <c r="N32" s="54"/>
      <c r="O32" s="66"/>
      <c r="P32" s="51"/>
      <c r="Q32" s="51"/>
      <c r="R32" s="51"/>
      <c r="S32" s="51"/>
      <c r="T32" s="55"/>
      <c r="U32" s="69"/>
      <c r="V32" s="50"/>
      <c r="W32" s="50"/>
      <c r="X32" s="50"/>
      <c r="Y32" s="50"/>
      <c r="Z32" s="50"/>
      <c r="AA32" s="50"/>
      <c r="AB32" s="50"/>
      <c r="AC32" s="50">
        <f>IF(COUNTIF($C$3:C32,C32)=1,1,IF(COUNTIF($E$3:E32,E32)=1,2,0))</f>
        <v>2</v>
      </c>
      <c r="AD32" s="50" t="str">
        <f>IF(ISNUMBER(SEARCH("-",Database[[#This Row],[KEYNOTE '#]])),LEFT(Database[[#This Row],[KEYNOTE '#]],FIND("-",Database[[#This Row],[KEYNOTE '#]])-1),Database[[#This Row],[KEYNOTE '#]])</f>
        <v>MP</v>
      </c>
      <c r="AE3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2" s="50" t="str">
        <f>IF(AND(ISNUMBER(SEARCH("-",Database[[#This Row],[KEYNOTE '#]]))=TRUE,ISNUMBER(--RIGHT(Database[[#This Row],[KEYNOTE '#]]))=FALSE),RIGHT(Database[[#This Row],[KEYNOTE '#]],1),"")</f>
        <v/>
      </c>
      <c r="AG32" s="50">
        <v>30</v>
      </c>
      <c r="AH32" s="50">
        <f>IF(COUNTIF(Database[[#This Row],[BASE]:[INT. OTHER]],"g"),"INTERIOR",IF(COUNTIF(Database[[#This Row],[ROOF]:[EXT. OTHER]],"n"),"EXTERIOR",Database[[#This Row],[DIVISION '#]]))</f>
        <v>7</v>
      </c>
      <c r="AI32" s="50" t="str">
        <f>IF(OR(Database[[#This Row],[KEYTIER1]]="INTERIOR",Database[[#This Row],[KEYTIER1]]="EXTERIOR"),"",Database[[#This Row],[DIVISION NAME]])</f>
        <v>DIVISION 07 - THERMAL AND MOISTURE PROTECTION</v>
      </c>
      <c r="AJ32" s="50">
        <f>IF(Database[[#This Row],[KEYTIER1]]="INTERIOR","INT",IF(Database[[#This Row],[KEYTIER1]]="EXTERIOR","EXT",Database[[#This Row],[SECTION '#]]))</f>
        <v>74213</v>
      </c>
      <c r="AK32" s="50" t="str">
        <f>IF(OR(Database[[#This Row],[KEYTIER2]]="INT",Database[[#This Row],[KEYTIER2]]="EXT"),"",IF(Database[[#This Row],[SECTION NAME]]="","",Database[[#This Row],[SECTION NAME]]))</f>
        <v>SECTION 074213 - METAL WALL PANEL</v>
      </c>
    </row>
    <row r="33" spans="2:37" ht="43.5" x14ac:dyDescent="0.35">
      <c r="B33" s="50" t="s">
        <v>36</v>
      </c>
      <c r="C33" s="50">
        <v>7</v>
      </c>
      <c r="D33" s="50" t="s">
        <v>57</v>
      </c>
      <c r="E33" s="50">
        <v>75210</v>
      </c>
      <c r="F33" s="53" t="s">
        <v>329</v>
      </c>
      <c r="G33" s="72" t="s">
        <v>60</v>
      </c>
      <c r="H33" s="53" t="s">
        <v>330</v>
      </c>
      <c r="I33" s="64"/>
      <c r="J33" s="52"/>
      <c r="K33" s="52"/>
      <c r="L33" s="52"/>
      <c r="M33" s="52"/>
      <c r="N33" s="54"/>
      <c r="O33" s="66" t="s">
        <v>40</v>
      </c>
      <c r="P33" s="51"/>
      <c r="Q33" s="51"/>
      <c r="R33" s="51"/>
      <c r="S33" s="51"/>
      <c r="T33" s="55"/>
      <c r="U33" s="69"/>
      <c r="V33" s="50"/>
      <c r="W33" s="50"/>
      <c r="X33" s="50"/>
      <c r="Y33" s="50"/>
      <c r="Z33" s="50"/>
      <c r="AA33" s="50"/>
      <c r="AB33" s="50"/>
      <c r="AC33" s="50">
        <f>IF(COUNTIF($C$3:C33,C33)=1,1,IF(COUNTIF($E$3:E33,E33)=1,2,0))</f>
        <v>2</v>
      </c>
      <c r="AD33" s="50" t="str">
        <f>IF(ISNUMBER(SEARCH("-",Database[[#This Row],[KEYNOTE '#]])),LEFT(Database[[#This Row],[KEYNOTE '#]],FIND("-",Database[[#This Row],[KEYNOTE '#]])-1),Database[[#This Row],[KEYNOTE '#]])</f>
        <v>RFG</v>
      </c>
      <c r="AE3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3" s="50" t="str">
        <f>IF(AND(ISNUMBER(SEARCH("-",Database[[#This Row],[KEYNOTE '#]]))=TRUE,ISNUMBER(--RIGHT(Database[[#This Row],[KEYNOTE '#]]))=FALSE),RIGHT(Database[[#This Row],[KEYNOTE '#]],1),"")</f>
        <v/>
      </c>
      <c r="AG33" s="50">
        <v>31</v>
      </c>
      <c r="AH33" s="50" t="str">
        <f>IF(COUNTIF(Database[[#This Row],[BASE]:[INT. OTHER]],"g"),"INTERIOR",IF(COUNTIF(Database[[#This Row],[ROOF]:[EXT. OTHER]],"n"),"EXTERIOR",Database[[#This Row],[DIVISION '#]]))</f>
        <v>EXTERIOR</v>
      </c>
      <c r="AI33" s="50" t="str">
        <f>IF(OR(Database[[#This Row],[KEYTIER1]]="INTERIOR",Database[[#This Row],[KEYTIER1]]="EXTERIOR"),"",Database[[#This Row],[DIVISION NAME]])</f>
        <v/>
      </c>
      <c r="AJ33" s="50" t="str">
        <f>IF(Database[[#This Row],[KEYTIER1]]="INTERIOR","INT",IF(Database[[#This Row],[KEYTIER1]]="EXTERIOR","EXT",Database[[#This Row],[SECTION '#]]))</f>
        <v>EXT</v>
      </c>
      <c r="AK33" s="50" t="str">
        <f>IF(OR(Database[[#This Row],[KEYTIER2]]="INT",Database[[#This Row],[KEYTIER2]]="EXT"),"",IF(Database[[#This Row],[SECTION NAME]]="","",Database[[#This Row],[SECTION NAME]]))</f>
        <v/>
      </c>
    </row>
    <row r="34" spans="2:37" ht="43.5" x14ac:dyDescent="0.35">
      <c r="B34" s="50" t="s">
        <v>36</v>
      </c>
      <c r="C34" s="50">
        <v>7</v>
      </c>
      <c r="D34" s="50" t="s">
        <v>57</v>
      </c>
      <c r="E34" s="50">
        <v>75323</v>
      </c>
      <c r="F34" s="53" t="s">
        <v>331</v>
      </c>
      <c r="G34" s="72" t="s">
        <v>61</v>
      </c>
      <c r="H34" s="53" t="s">
        <v>332</v>
      </c>
      <c r="I34" s="64"/>
      <c r="J34" s="52"/>
      <c r="K34" s="52"/>
      <c r="L34" s="52"/>
      <c r="M34" s="52"/>
      <c r="N34" s="54"/>
      <c r="O34" s="66" t="s">
        <v>40</v>
      </c>
      <c r="P34" s="51"/>
      <c r="Q34" s="51"/>
      <c r="R34" s="51"/>
      <c r="S34" s="51"/>
      <c r="T34" s="55"/>
      <c r="U34" s="69"/>
      <c r="V34" s="50"/>
      <c r="W34" s="50"/>
      <c r="X34" s="50"/>
      <c r="Y34" s="50"/>
      <c r="Z34" s="50"/>
      <c r="AA34" s="50"/>
      <c r="AB34" s="50"/>
      <c r="AC34" s="50">
        <f>IF(COUNTIF($C$3:C34,C34)=1,1,IF(COUNTIF($E$3:E34,E34)=1,2,0))</f>
        <v>2</v>
      </c>
      <c r="AD34" s="50" t="str">
        <f>IF(ISNUMBER(SEARCH("-",Database[[#This Row],[KEYNOTE '#]])),LEFT(Database[[#This Row],[KEYNOTE '#]],FIND("-",Database[[#This Row],[KEYNOTE '#]])-1),Database[[#This Row],[KEYNOTE '#]])</f>
        <v>RFG</v>
      </c>
      <c r="AE3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34" s="50" t="str">
        <f>IF(AND(ISNUMBER(SEARCH("-",Database[[#This Row],[KEYNOTE '#]]))=TRUE,ISNUMBER(--RIGHT(Database[[#This Row],[KEYNOTE '#]]))=FALSE),RIGHT(Database[[#This Row],[KEYNOTE '#]],1),"")</f>
        <v/>
      </c>
      <c r="AG34" s="50">
        <v>32</v>
      </c>
      <c r="AH34" s="50" t="str">
        <f>IF(COUNTIF(Database[[#This Row],[BASE]:[INT. OTHER]],"g"),"INTERIOR",IF(COUNTIF(Database[[#This Row],[ROOF]:[EXT. OTHER]],"n"),"EXTERIOR",Database[[#This Row],[DIVISION '#]]))</f>
        <v>EXTERIOR</v>
      </c>
      <c r="AI34" s="50" t="str">
        <f>IF(OR(Database[[#This Row],[KEYTIER1]]="INTERIOR",Database[[#This Row],[KEYTIER1]]="EXTERIOR"),"",Database[[#This Row],[DIVISION NAME]])</f>
        <v/>
      </c>
      <c r="AJ34" s="50" t="str">
        <f>IF(Database[[#This Row],[KEYTIER1]]="INTERIOR","INT",IF(Database[[#This Row],[KEYTIER1]]="EXTERIOR","EXT",Database[[#This Row],[SECTION '#]]))</f>
        <v>EXT</v>
      </c>
      <c r="AK34" s="50" t="str">
        <f>IF(OR(Database[[#This Row],[KEYTIER2]]="INT",Database[[#This Row],[KEYTIER2]]="EXT"),"",IF(Database[[#This Row],[SECTION NAME]]="","",Database[[#This Row],[SECTION NAME]]))</f>
        <v/>
      </c>
    </row>
    <row r="35" spans="2:37" ht="116" x14ac:dyDescent="0.35">
      <c r="B35" s="50" t="s">
        <v>36</v>
      </c>
      <c r="C35" s="50">
        <v>7</v>
      </c>
      <c r="D35" s="50" t="s">
        <v>57</v>
      </c>
      <c r="E35" s="50">
        <v>79500</v>
      </c>
      <c r="F35" s="53" t="s">
        <v>333</v>
      </c>
      <c r="G35" s="72" t="s">
        <v>334</v>
      </c>
      <c r="H35" s="53" t="s">
        <v>335</v>
      </c>
      <c r="I35" s="64"/>
      <c r="J35" s="52"/>
      <c r="K35" s="52"/>
      <c r="L35" s="52"/>
      <c r="M35" s="52"/>
      <c r="N35" s="54"/>
      <c r="O35" s="66"/>
      <c r="P35" s="51"/>
      <c r="Q35" s="51"/>
      <c r="R35" s="51"/>
      <c r="S35" s="51"/>
      <c r="T35" s="55"/>
      <c r="U35" s="69"/>
      <c r="V35" s="50"/>
      <c r="W35" s="50"/>
      <c r="X35" s="50"/>
      <c r="Y35" s="50"/>
      <c r="Z35" s="50"/>
      <c r="AA35" s="50"/>
      <c r="AB35" s="50"/>
      <c r="AC35" s="50">
        <f>IF(COUNTIF($C$3:C35,C35)=1,1,IF(COUNTIF($E$3:E35,E35)=1,2,0))</f>
        <v>2</v>
      </c>
      <c r="AD35" s="50" t="str">
        <f>IF(ISNUMBER(SEARCH("-",Database[[#This Row],[KEYNOTE '#]])),LEFT(Database[[#This Row],[KEYNOTE '#]],FIND("-",Database[[#This Row],[KEYNOTE '#]])-1),Database[[#This Row],[KEYNOTE '#]])</f>
        <v>EJ</v>
      </c>
      <c r="AE3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5" s="50" t="str">
        <f>IF(AND(ISNUMBER(SEARCH("-",Database[[#This Row],[KEYNOTE '#]]))=TRUE,ISNUMBER(--RIGHT(Database[[#This Row],[KEYNOTE '#]]))=FALSE),RIGHT(Database[[#This Row],[KEYNOTE '#]],1),"")</f>
        <v/>
      </c>
      <c r="AG35" s="50">
        <v>33</v>
      </c>
      <c r="AH35" s="50">
        <f>IF(COUNTIF(Database[[#This Row],[BASE]:[INT. OTHER]],"g"),"INTERIOR",IF(COUNTIF(Database[[#This Row],[ROOF]:[EXT. OTHER]],"n"),"EXTERIOR",Database[[#This Row],[DIVISION '#]]))</f>
        <v>7</v>
      </c>
      <c r="AI35" s="50" t="str">
        <f>IF(OR(Database[[#This Row],[KEYTIER1]]="INTERIOR",Database[[#This Row],[KEYTIER1]]="EXTERIOR"),"",Database[[#This Row],[DIVISION NAME]])</f>
        <v>DIVISION 07 - THERMAL AND MOISTURE PROTECTION</v>
      </c>
      <c r="AJ35" s="50">
        <f>IF(Database[[#This Row],[KEYTIER1]]="INTERIOR","INT",IF(Database[[#This Row],[KEYTIER1]]="EXTERIOR","EXT",Database[[#This Row],[SECTION '#]]))</f>
        <v>79500</v>
      </c>
      <c r="AK35" s="50" t="str">
        <f>IF(OR(Database[[#This Row],[KEYTIER2]]="INT",Database[[#This Row],[KEYTIER2]]="EXT"),"",IF(Database[[#This Row],[SECTION NAME]]="","",Database[[#This Row],[SECTION NAME]]))</f>
        <v>SECTION 079500 - EXPANSION JOINT</v>
      </c>
    </row>
    <row r="36" spans="2:37" ht="116" x14ac:dyDescent="0.35">
      <c r="B36" s="50" t="s">
        <v>36</v>
      </c>
      <c r="C36" s="50">
        <v>7</v>
      </c>
      <c r="D36" s="50" t="s">
        <v>57</v>
      </c>
      <c r="E36" s="50">
        <v>79500</v>
      </c>
      <c r="F36" s="53" t="s">
        <v>333</v>
      </c>
      <c r="G36" s="72" t="s">
        <v>62</v>
      </c>
      <c r="H36" s="53" t="s">
        <v>336</v>
      </c>
      <c r="I36" s="64"/>
      <c r="J36" s="52"/>
      <c r="K36" s="52"/>
      <c r="L36" s="52"/>
      <c r="M36" s="52"/>
      <c r="N36" s="54"/>
      <c r="O36" s="66"/>
      <c r="P36" s="51"/>
      <c r="Q36" s="51"/>
      <c r="R36" s="51"/>
      <c r="S36" s="51"/>
      <c r="T36" s="55"/>
      <c r="U36" s="69"/>
      <c r="V36" s="50"/>
      <c r="W36" s="50"/>
      <c r="X36" s="50"/>
      <c r="Y36" s="50"/>
      <c r="Z36" s="50"/>
      <c r="AA36" s="50"/>
      <c r="AB36" s="50"/>
      <c r="AC36" s="50">
        <f>IF(COUNTIF($C$3:C36,C36)=1,1,IF(COUNTIF($E$3:E36,E36)=1,2,0))</f>
        <v>0</v>
      </c>
      <c r="AD36" s="50" t="str">
        <f>IF(ISNUMBER(SEARCH("-",Database[[#This Row],[KEYNOTE '#]])),LEFT(Database[[#This Row],[KEYNOTE '#]],FIND("-",Database[[#This Row],[KEYNOTE '#]])-1),Database[[#This Row],[KEYNOTE '#]])</f>
        <v>EJ</v>
      </c>
      <c r="AE3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6" s="50" t="str">
        <f>IF(AND(ISNUMBER(SEARCH("-",Database[[#This Row],[KEYNOTE '#]]))=TRUE,ISNUMBER(--RIGHT(Database[[#This Row],[KEYNOTE '#]]))=FALSE),RIGHT(Database[[#This Row],[KEYNOTE '#]],1),"")</f>
        <v/>
      </c>
      <c r="AG36" s="50">
        <v>34</v>
      </c>
      <c r="AH36" s="50">
        <f>IF(COUNTIF(Database[[#This Row],[BASE]:[INT. OTHER]],"g"),"INTERIOR",IF(COUNTIF(Database[[#This Row],[ROOF]:[EXT. OTHER]],"n"),"EXTERIOR",Database[[#This Row],[DIVISION '#]]))</f>
        <v>7</v>
      </c>
      <c r="AI36" s="50" t="str">
        <f>IF(OR(Database[[#This Row],[KEYTIER1]]="INTERIOR",Database[[#This Row],[KEYTIER1]]="EXTERIOR"),"",Database[[#This Row],[DIVISION NAME]])</f>
        <v>DIVISION 07 - THERMAL AND MOISTURE PROTECTION</v>
      </c>
      <c r="AJ36" s="50">
        <f>IF(Database[[#This Row],[KEYTIER1]]="INTERIOR","INT",IF(Database[[#This Row],[KEYTIER1]]="EXTERIOR","EXT",Database[[#This Row],[SECTION '#]]))</f>
        <v>79500</v>
      </c>
      <c r="AK36" s="50" t="str">
        <f>IF(OR(Database[[#This Row],[KEYTIER2]]="INT",Database[[#This Row],[KEYTIER2]]="EXT"),"",IF(Database[[#This Row],[SECTION NAME]]="","",Database[[#This Row],[SECTION NAME]]))</f>
        <v>SECTION 079500 - EXPANSION JOINT</v>
      </c>
    </row>
    <row r="37" spans="2:37" ht="29" x14ac:dyDescent="0.35">
      <c r="B37" s="50" t="s">
        <v>36</v>
      </c>
      <c r="C37" s="50">
        <v>8</v>
      </c>
      <c r="D37" s="50" t="s">
        <v>63</v>
      </c>
      <c r="E37" s="50">
        <v>84400</v>
      </c>
      <c r="F37" s="53" t="s">
        <v>337</v>
      </c>
      <c r="G37" s="72" t="s">
        <v>64</v>
      </c>
      <c r="H37" s="53" t="s">
        <v>338</v>
      </c>
      <c r="I37" s="64"/>
      <c r="J37" s="52"/>
      <c r="K37" s="52"/>
      <c r="L37" s="52"/>
      <c r="M37" s="52"/>
      <c r="N37" s="54"/>
      <c r="O37" s="66"/>
      <c r="P37" s="51"/>
      <c r="Q37" s="51" t="s">
        <v>40</v>
      </c>
      <c r="R37" s="51"/>
      <c r="S37" s="51"/>
      <c r="T37" s="55"/>
      <c r="U37" s="69"/>
      <c r="V37" s="50"/>
      <c r="W37" s="50"/>
      <c r="X37" s="50"/>
      <c r="Y37" s="50"/>
      <c r="Z37" s="50"/>
      <c r="AA37" s="50"/>
      <c r="AB37" s="50"/>
      <c r="AC37" s="50">
        <f>IF(COUNTIF($C$3:C37,C37)=1,1,IF(COUNTIF($E$3:E37,E37)=1,2,0))</f>
        <v>1</v>
      </c>
      <c r="AD37" s="50" t="str">
        <f>IF(ISNUMBER(SEARCH("-",Database[[#This Row],[KEYNOTE '#]])),LEFT(Database[[#This Row],[KEYNOTE '#]],FIND("-",Database[[#This Row],[KEYNOTE '#]])-1),Database[[#This Row],[KEYNOTE '#]])</f>
        <v>CW</v>
      </c>
      <c r="AE3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7" s="50" t="str">
        <f>IF(AND(ISNUMBER(SEARCH("-",Database[[#This Row],[KEYNOTE '#]]))=TRUE,ISNUMBER(--RIGHT(Database[[#This Row],[KEYNOTE '#]]))=FALSE),RIGHT(Database[[#This Row],[KEYNOTE '#]],1),"")</f>
        <v/>
      </c>
      <c r="AG37" s="50">
        <v>35</v>
      </c>
      <c r="AH37" s="50" t="str">
        <f>IF(COUNTIF(Database[[#This Row],[BASE]:[INT. OTHER]],"g"),"INTERIOR",IF(COUNTIF(Database[[#This Row],[ROOF]:[EXT. OTHER]],"n"),"EXTERIOR",Database[[#This Row],[DIVISION '#]]))</f>
        <v>EXTERIOR</v>
      </c>
      <c r="AI37" s="50" t="str">
        <f>IF(OR(Database[[#This Row],[KEYTIER1]]="INTERIOR",Database[[#This Row],[KEYTIER1]]="EXTERIOR"),"",Database[[#This Row],[DIVISION NAME]])</f>
        <v/>
      </c>
      <c r="AJ37" s="50" t="str">
        <f>IF(Database[[#This Row],[KEYTIER1]]="INTERIOR","INT",IF(Database[[#This Row],[KEYTIER1]]="EXTERIOR","EXT",Database[[#This Row],[SECTION '#]]))</f>
        <v>EXT</v>
      </c>
      <c r="AK37" s="50" t="str">
        <f>IF(OR(Database[[#This Row],[KEYTIER2]]="INT",Database[[#This Row],[KEYTIER2]]="EXT"),"",IF(Database[[#This Row],[SECTION NAME]]="","",Database[[#This Row],[SECTION NAME]]))</f>
        <v/>
      </c>
    </row>
    <row r="38" spans="2:37" ht="29" x14ac:dyDescent="0.35">
      <c r="B38" s="50" t="s">
        <v>36</v>
      </c>
      <c r="C38" s="50">
        <v>8</v>
      </c>
      <c r="D38" s="50" t="s">
        <v>63</v>
      </c>
      <c r="E38" s="50">
        <v>88000</v>
      </c>
      <c r="F38" s="53" t="s">
        <v>339</v>
      </c>
      <c r="G38" s="72" t="s">
        <v>340</v>
      </c>
      <c r="H38" s="53" t="s">
        <v>341</v>
      </c>
      <c r="I38" s="64"/>
      <c r="J38" s="52" t="s">
        <v>38</v>
      </c>
      <c r="K38" s="52"/>
      <c r="L38" s="52"/>
      <c r="M38" s="52"/>
      <c r="N38" s="54"/>
      <c r="O38" s="66"/>
      <c r="P38" s="51"/>
      <c r="Q38" s="51"/>
      <c r="R38" s="51"/>
      <c r="S38" s="51"/>
      <c r="T38" s="55"/>
      <c r="U38" s="69"/>
      <c r="V38" s="50"/>
      <c r="W38" s="50"/>
      <c r="X38" s="50"/>
      <c r="Y38" s="50"/>
      <c r="Z38" s="50"/>
      <c r="AA38" s="50"/>
      <c r="AB38" s="50"/>
      <c r="AC38" s="50">
        <f>IF(COUNTIF($C$3:C38,C38)=1,1,IF(COUNTIF($E$3:E38,E38)=1,2,0))</f>
        <v>2</v>
      </c>
      <c r="AD38" s="50" t="str">
        <f>IF(ISNUMBER(SEARCH("-",Database[[#This Row],[KEYNOTE '#]])),LEFT(Database[[#This Row],[KEYNOTE '#]],FIND("-",Database[[#This Row],[KEYNOTE '#]])-1),Database[[#This Row],[KEYNOTE '#]])</f>
        <v>GL</v>
      </c>
      <c r="AE3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8" s="50" t="str">
        <f>IF(AND(ISNUMBER(SEARCH("-",Database[[#This Row],[KEYNOTE '#]]))=TRUE,ISNUMBER(--RIGHT(Database[[#This Row],[KEYNOTE '#]]))=FALSE),RIGHT(Database[[#This Row],[KEYNOTE '#]],1),"")</f>
        <v/>
      </c>
      <c r="AG38" s="50">
        <v>36</v>
      </c>
      <c r="AH38" s="50" t="str">
        <f>IF(COUNTIF(Database[[#This Row],[BASE]:[INT. OTHER]],"g"),"INTERIOR",IF(COUNTIF(Database[[#This Row],[ROOF]:[EXT. OTHER]],"n"),"EXTERIOR",Database[[#This Row],[DIVISION '#]]))</f>
        <v>INTERIOR</v>
      </c>
      <c r="AI38" s="50" t="str">
        <f>IF(OR(Database[[#This Row],[KEYTIER1]]="INTERIOR",Database[[#This Row],[KEYTIER1]]="EXTERIOR"),"",Database[[#This Row],[DIVISION NAME]])</f>
        <v/>
      </c>
      <c r="AJ38" s="50" t="str">
        <f>IF(Database[[#This Row],[KEYTIER1]]="INTERIOR","INT",IF(Database[[#This Row],[KEYTIER1]]="EXTERIOR","EXT",Database[[#This Row],[SECTION '#]]))</f>
        <v>INT</v>
      </c>
      <c r="AK38" s="50" t="str">
        <f>IF(OR(Database[[#This Row],[KEYTIER2]]="INT",Database[[#This Row],[KEYTIER2]]="EXT"),"",IF(Database[[#This Row],[SECTION NAME]]="","",Database[[#This Row],[SECTION NAME]]))</f>
        <v/>
      </c>
    </row>
    <row r="39" spans="2:37" ht="29" x14ac:dyDescent="0.35">
      <c r="B39" s="50" t="s">
        <v>36</v>
      </c>
      <c r="C39" s="50">
        <v>8</v>
      </c>
      <c r="D39" s="50" t="s">
        <v>63</v>
      </c>
      <c r="E39" s="50">
        <v>88000</v>
      </c>
      <c r="F39" s="53" t="s">
        <v>339</v>
      </c>
      <c r="G39" s="72" t="s">
        <v>342</v>
      </c>
      <c r="H39" s="53" t="s">
        <v>343</v>
      </c>
      <c r="I39" s="64"/>
      <c r="J39" s="52" t="s">
        <v>38</v>
      </c>
      <c r="K39" s="52"/>
      <c r="L39" s="52"/>
      <c r="M39" s="52"/>
      <c r="N39" s="54"/>
      <c r="O39" s="66"/>
      <c r="P39" s="51"/>
      <c r="Q39" s="51"/>
      <c r="R39" s="51"/>
      <c r="S39" s="51"/>
      <c r="T39" s="55"/>
      <c r="U39" s="69"/>
      <c r="V39" s="50"/>
      <c r="W39" s="50"/>
      <c r="X39" s="50"/>
      <c r="Y39" s="50"/>
      <c r="Z39" s="50"/>
      <c r="AA39" s="50"/>
      <c r="AB39" s="50"/>
      <c r="AC39" s="50">
        <f>IF(COUNTIF($C$3:C39,C39)=1,1,IF(COUNTIF($E$3:E39,E39)=1,2,0))</f>
        <v>0</v>
      </c>
      <c r="AD39" s="50" t="str">
        <f>IF(ISNUMBER(SEARCH("-",Database[[#This Row],[KEYNOTE '#]])),LEFT(Database[[#This Row],[KEYNOTE '#]],FIND("-",Database[[#This Row],[KEYNOTE '#]])-1),Database[[#This Row],[KEYNOTE '#]])</f>
        <v>GL</v>
      </c>
      <c r="AE3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39" s="50" t="str">
        <f>IF(AND(ISNUMBER(SEARCH("-",Database[[#This Row],[KEYNOTE '#]]))=TRUE,ISNUMBER(--RIGHT(Database[[#This Row],[KEYNOTE '#]]))=FALSE),RIGHT(Database[[#This Row],[KEYNOTE '#]],1),"")</f>
        <v/>
      </c>
      <c r="AG39" s="50">
        <v>37</v>
      </c>
      <c r="AH39" s="50" t="str">
        <f>IF(COUNTIF(Database[[#This Row],[BASE]:[INT. OTHER]],"g"),"INTERIOR",IF(COUNTIF(Database[[#This Row],[ROOF]:[EXT. OTHER]],"n"),"EXTERIOR",Database[[#This Row],[DIVISION '#]]))</f>
        <v>INTERIOR</v>
      </c>
      <c r="AI39" s="50" t="str">
        <f>IF(OR(Database[[#This Row],[KEYTIER1]]="INTERIOR",Database[[#This Row],[KEYTIER1]]="EXTERIOR"),"",Database[[#This Row],[DIVISION NAME]])</f>
        <v/>
      </c>
      <c r="AJ39" s="50" t="str">
        <f>IF(Database[[#This Row],[KEYTIER1]]="INTERIOR","INT",IF(Database[[#This Row],[KEYTIER1]]="EXTERIOR","EXT",Database[[#This Row],[SECTION '#]]))</f>
        <v>INT</v>
      </c>
      <c r="AK39" s="50" t="str">
        <f>IF(OR(Database[[#This Row],[KEYTIER2]]="INT",Database[[#This Row],[KEYTIER2]]="EXT"),"",IF(Database[[#This Row],[SECTION NAME]]="","",Database[[#This Row],[SECTION NAME]]))</f>
        <v/>
      </c>
    </row>
    <row r="40" spans="2:37" ht="29" x14ac:dyDescent="0.35">
      <c r="B40" s="50" t="s">
        <v>36</v>
      </c>
      <c r="C40" s="50">
        <v>8</v>
      </c>
      <c r="D40" s="50" t="s">
        <v>63</v>
      </c>
      <c r="E40" s="50">
        <v>88000</v>
      </c>
      <c r="F40" s="53" t="s">
        <v>339</v>
      </c>
      <c r="G40" s="72" t="s">
        <v>344</v>
      </c>
      <c r="H40" s="53" t="s">
        <v>345</v>
      </c>
      <c r="I40" s="64"/>
      <c r="J40" s="52" t="s">
        <v>38</v>
      </c>
      <c r="K40" s="52"/>
      <c r="L40" s="52"/>
      <c r="M40" s="52"/>
      <c r="N40" s="54"/>
      <c r="O40" s="66"/>
      <c r="P40" s="51"/>
      <c r="Q40" s="51"/>
      <c r="R40" s="51"/>
      <c r="S40" s="51"/>
      <c r="T40" s="55"/>
      <c r="U40" s="69"/>
      <c r="V40" s="50"/>
      <c r="W40" s="50"/>
      <c r="X40" s="50"/>
      <c r="Y40" s="50"/>
      <c r="Z40" s="50"/>
      <c r="AA40" s="50"/>
      <c r="AB40" s="50"/>
      <c r="AC40" s="50">
        <f>IF(COUNTIF($C$3:C40,C40)=1,1,IF(COUNTIF($E$3:E40,E40)=1,2,0))</f>
        <v>0</v>
      </c>
      <c r="AD40" s="50" t="str">
        <f>IF(ISNUMBER(SEARCH("-",Database[[#This Row],[KEYNOTE '#]])),LEFT(Database[[#This Row],[KEYNOTE '#]],FIND("-",Database[[#This Row],[KEYNOTE '#]])-1),Database[[#This Row],[KEYNOTE '#]])</f>
        <v>GL</v>
      </c>
      <c r="AE4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40" s="50" t="str">
        <f>IF(AND(ISNUMBER(SEARCH("-",Database[[#This Row],[KEYNOTE '#]]))=TRUE,ISNUMBER(--RIGHT(Database[[#This Row],[KEYNOTE '#]]))=FALSE),RIGHT(Database[[#This Row],[KEYNOTE '#]],1),"")</f>
        <v/>
      </c>
      <c r="AG40" s="50">
        <v>38</v>
      </c>
      <c r="AH40" s="50" t="str">
        <f>IF(COUNTIF(Database[[#This Row],[BASE]:[INT. OTHER]],"g"),"INTERIOR",IF(COUNTIF(Database[[#This Row],[ROOF]:[EXT. OTHER]],"n"),"EXTERIOR",Database[[#This Row],[DIVISION '#]]))</f>
        <v>INTERIOR</v>
      </c>
      <c r="AI40" s="50" t="str">
        <f>IF(OR(Database[[#This Row],[KEYTIER1]]="INTERIOR",Database[[#This Row],[KEYTIER1]]="EXTERIOR"),"",Database[[#This Row],[DIVISION NAME]])</f>
        <v/>
      </c>
      <c r="AJ40" s="50" t="str">
        <f>IF(Database[[#This Row],[KEYTIER1]]="INTERIOR","INT",IF(Database[[#This Row],[KEYTIER1]]="EXTERIOR","EXT",Database[[#This Row],[SECTION '#]]))</f>
        <v>INT</v>
      </c>
      <c r="AK40" s="50" t="str">
        <f>IF(OR(Database[[#This Row],[KEYTIER2]]="INT",Database[[#This Row],[KEYTIER2]]="EXT"),"",IF(Database[[#This Row],[SECTION NAME]]="","",Database[[#This Row],[SECTION NAME]]))</f>
        <v/>
      </c>
    </row>
    <row r="41" spans="2:37" ht="29" x14ac:dyDescent="0.35">
      <c r="B41" s="50" t="s">
        <v>36</v>
      </c>
      <c r="C41" s="50">
        <v>8</v>
      </c>
      <c r="D41" s="50" t="s">
        <v>63</v>
      </c>
      <c r="E41" s="50">
        <v>88000</v>
      </c>
      <c r="F41" s="53" t="s">
        <v>339</v>
      </c>
      <c r="G41" s="72" t="s">
        <v>346</v>
      </c>
      <c r="H41" s="53" t="s">
        <v>347</v>
      </c>
      <c r="I41" s="64"/>
      <c r="J41" s="52" t="s">
        <v>38</v>
      </c>
      <c r="K41" s="52"/>
      <c r="L41" s="52"/>
      <c r="M41" s="52"/>
      <c r="N41" s="54"/>
      <c r="O41" s="66"/>
      <c r="P41" s="51"/>
      <c r="Q41" s="51"/>
      <c r="R41" s="51"/>
      <c r="S41" s="51"/>
      <c r="T41" s="55"/>
      <c r="U41" s="69"/>
      <c r="V41" s="50"/>
      <c r="W41" s="50"/>
      <c r="X41" s="50"/>
      <c r="Y41" s="50"/>
      <c r="Z41" s="50"/>
      <c r="AA41" s="50"/>
      <c r="AB41" s="50"/>
      <c r="AC41" s="50">
        <f>IF(COUNTIF($C$3:C41,C41)=1,1,IF(COUNTIF($E$3:E41,E41)=1,2,0))</f>
        <v>0</v>
      </c>
      <c r="AD41" s="50" t="str">
        <f>IF(ISNUMBER(SEARCH("-",Database[[#This Row],[KEYNOTE '#]])),LEFT(Database[[#This Row],[KEYNOTE '#]],FIND("-",Database[[#This Row],[KEYNOTE '#]])-1),Database[[#This Row],[KEYNOTE '#]])</f>
        <v>GL</v>
      </c>
      <c r="AE4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41" s="50" t="str">
        <f>IF(AND(ISNUMBER(SEARCH("-",Database[[#This Row],[KEYNOTE '#]]))=TRUE,ISNUMBER(--RIGHT(Database[[#This Row],[KEYNOTE '#]]))=FALSE),RIGHT(Database[[#This Row],[KEYNOTE '#]],1),"")</f>
        <v/>
      </c>
      <c r="AG41" s="50">
        <v>39</v>
      </c>
      <c r="AH41" s="50" t="str">
        <f>IF(COUNTIF(Database[[#This Row],[BASE]:[INT. OTHER]],"g"),"INTERIOR",IF(COUNTIF(Database[[#This Row],[ROOF]:[EXT. OTHER]],"n"),"EXTERIOR",Database[[#This Row],[DIVISION '#]]))</f>
        <v>INTERIOR</v>
      </c>
      <c r="AI41" s="50" t="str">
        <f>IF(OR(Database[[#This Row],[KEYTIER1]]="INTERIOR",Database[[#This Row],[KEYTIER1]]="EXTERIOR"),"",Database[[#This Row],[DIVISION NAME]])</f>
        <v/>
      </c>
      <c r="AJ41" s="50" t="str">
        <f>IF(Database[[#This Row],[KEYTIER1]]="INTERIOR","INT",IF(Database[[#This Row],[KEYTIER1]]="EXTERIOR","EXT",Database[[#This Row],[SECTION '#]]))</f>
        <v>INT</v>
      </c>
      <c r="AK41" s="50" t="str">
        <f>IF(OR(Database[[#This Row],[KEYTIER2]]="INT",Database[[#This Row],[KEYTIER2]]="EXT"),"",IF(Database[[#This Row],[SECTION NAME]]="","",Database[[#This Row],[SECTION NAME]]))</f>
        <v/>
      </c>
    </row>
    <row r="42" spans="2:37" ht="29" x14ac:dyDescent="0.35">
      <c r="B42" s="50" t="s">
        <v>36</v>
      </c>
      <c r="C42" s="50">
        <v>8</v>
      </c>
      <c r="D42" s="50" t="s">
        <v>63</v>
      </c>
      <c r="E42" s="50">
        <v>88000</v>
      </c>
      <c r="F42" s="53" t="s">
        <v>339</v>
      </c>
      <c r="G42" s="72" t="s">
        <v>348</v>
      </c>
      <c r="H42" s="53" t="s">
        <v>349</v>
      </c>
      <c r="I42" s="64"/>
      <c r="J42" s="52" t="s">
        <v>38</v>
      </c>
      <c r="K42" s="52"/>
      <c r="L42" s="52"/>
      <c r="M42" s="52"/>
      <c r="N42" s="54"/>
      <c r="O42" s="66"/>
      <c r="P42" s="51"/>
      <c r="Q42" s="51"/>
      <c r="R42" s="51"/>
      <c r="S42" s="51"/>
      <c r="T42" s="55"/>
      <c r="U42" s="69"/>
      <c r="V42" s="50"/>
      <c r="W42" s="50"/>
      <c r="X42" s="50"/>
      <c r="Y42" s="50"/>
      <c r="Z42" s="50"/>
      <c r="AA42" s="50"/>
      <c r="AB42" s="50"/>
      <c r="AC42" s="50">
        <f>IF(COUNTIF($C$3:C42,C42)=1,1,IF(COUNTIF($E$3:E42,E42)=1,2,0))</f>
        <v>0</v>
      </c>
      <c r="AD42" s="50" t="str">
        <f>IF(ISNUMBER(SEARCH("-",Database[[#This Row],[KEYNOTE '#]])),LEFT(Database[[#This Row],[KEYNOTE '#]],FIND("-",Database[[#This Row],[KEYNOTE '#]])-1),Database[[#This Row],[KEYNOTE '#]])</f>
        <v>GL</v>
      </c>
      <c r="AE4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</v>
      </c>
      <c r="AF42" s="50" t="str">
        <f>IF(AND(ISNUMBER(SEARCH("-",Database[[#This Row],[KEYNOTE '#]]))=TRUE,ISNUMBER(--RIGHT(Database[[#This Row],[KEYNOTE '#]]))=FALSE),RIGHT(Database[[#This Row],[KEYNOTE '#]],1),"")</f>
        <v/>
      </c>
      <c r="AG42" s="50">
        <v>40</v>
      </c>
      <c r="AH42" s="50" t="str">
        <f>IF(COUNTIF(Database[[#This Row],[BASE]:[INT. OTHER]],"g"),"INTERIOR",IF(COUNTIF(Database[[#This Row],[ROOF]:[EXT. OTHER]],"n"),"EXTERIOR",Database[[#This Row],[DIVISION '#]]))</f>
        <v>INTERIOR</v>
      </c>
      <c r="AI42" s="50" t="str">
        <f>IF(OR(Database[[#This Row],[KEYTIER1]]="INTERIOR",Database[[#This Row],[KEYTIER1]]="EXTERIOR"),"",Database[[#This Row],[DIVISION NAME]])</f>
        <v/>
      </c>
      <c r="AJ42" s="50" t="str">
        <f>IF(Database[[#This Row],[KEYTIER1]]="INTERIOR","INT",IF(Database[[#This Row],[KEYTIER1]]="EXTERIOR","EXT",Database[[#This Row],[SECTION '#]]))</f>
        <v>INT</v>
      </c>
      <c r="AK42" s="50" t="str">
        <f>IF(OR(Database[[#This Row],[KEYTIER2]]="INT",Database[[#This Row],[KEYTIER2]]="EXT"),"",IF(Database[[#This Row],[SECTION NAME]]="","",Database[[#This Row],[SECTION NAME]]))</f>
        <v/>
      </c>
    </row>
    <row r="43" spans="2:37" ht="29" x14ac:dyDescent="0.35">
      <c r="B43" s="50" t="s">
        <v>36</v>
      </c>
      <c r="C43" s="50">
        <v>8</v>
      </c>
      <c r="D43" s="50" t="s">
        <v>63</v>
      </c>
      <c r="E43" s="50">
        <v>88000</v>
      </c>
      <c r="F43" s="53" t="s">
        <v>339</v>
      </c>
      <c r="G43" s="72" t="s">
        <v>350</v>
      </c>
      <c r="H43" s="53" t="s">
        <v>351</v>
      </c>
      <c r="I43" s="64"/>
      <c r="J43" s="52" t="s">
        <v>38</v>
      </c>
      <c r="K43" s="52"/>
      <c r="L43" s="52"/>
      <c r="M43" s="52"/>
      <c r="N43" s="54"/>
      <c r="O43" s="66"/>
      <c r="P43" s="51"/>
      <c r="Q43" s="51"/>
      <c r="R43" s="51"/>
      <c r="S43" s="51"/>
      <c r="T43" s="55"/>
      <c r="U43" s="69"/>
      <c r="V43" s="50"/>
      <c r="W43" s="50"/>
      <c r="X43" s="50"/>
      <c r="Y43" s="50"/>
      <c r="Z43" s="50"/>
      <c r="AA43" s="50"/>
      <c r="AB43" s="50"/>
      <c r="AC43" s="50">
        <f>IF(COUNTIF($C$3:C43,C43)=1,1,IF(COUNTIF($E$3:E43,E43)=1,2,0))</f>
        <v>0</v>
      </c>
      <c r="AD43" s="50" t="str">
        <f>IF(ISNUMBER(SEARCH("-",Database[[#This Row],[KEYNOTE '#]])),LEFT(Database[[#This Row],[KEYNOTE '#]],FIND("-",Database[[#This Row],[KEYNOTE '#]])-1),Database[[#This Row],[KEYNOTE '#]])</f>
        <v>GL</v>
      </c>
      <c r="AE4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6</v>
      </c>
      <c r="AF43" s="50" t="str">
        <f>IF(AND(ISNUMBER(SEARCH("-",Database[[#This Row],[KEYNOTE '#]]))=TRUE,ISNUMBER(--RIGHT(Database[[#This Row],[KEYNOTE '#]]))=FALSE),RIGHT(Database[[#This Row],[KEYNOTE '#]],1),"")</f>
        <v/>
      </c>
      <c r="AG43" s="50">
        <v>41</v>
      </c>
      <c r="AH43" s="50" t="str">
        <f>IF(COUNTIF(Database[[#This Row],[BASE]:[INT. OTHER]],"g"),"INTERIOR",IF(COUNTIF(Database[[#This Row],[ROOF]:[EXT. OTHER]],"n"),"EXTERIOR",Database[[#This Row],[DIVISION '#]]))</f>
        <v>INTERIOR</v>
      </c>
      <c r="AI43" s="50" t="str">
        <f>IF(OR(Database[[#This Row],[KEYTIER1]]="INTERIOR",Database[[#This Row],[KEYTIER1]]="EXTERIOR"),"",Database[[#This Row],[DIVISION NAME]])</f>
        <v/>
      </c>
      <c r="AJ43" s="50" t="str">
        <f>IF(Database[[#This Row],[KEYTIER1]]="INTERIOR","INT",IF(Database[[#This Row],[KEYTIER1]]="EXTERIOR","EXT",Database[[#This Row],[SECTION '#]]))</f>
        <v>INT</v>
      </c>
      <c r="AK43" s="50" t="str">
        <f>IF(OR(Database[[#This Row],[KEYTIER2]]="INT",Database[[#This Row],[KEYTIER2]]="EXT"),"",IF(Database[[#This Row],[SECTION NAME]]="","",Database[[#This Row],[SECTION NAME]]))</f>
        <v/>
      </c>
    </row>
    <row r="44" spans="2:37" ht="29" x14ac:dyDescent="0.35">
      <c r="B44" s="50" t="s">
        <v>36</v>
      </c>
      <c r="C44" s="50">
        <v>8</v>
      </c>
      <c r="D44" s="50" t="s">
        <v>63</v>
      </c>
      <c r="E44" s="50">
        <v>88000</v>
      </c>
      <c r="F44" s="53" t="s">
        <v>339</v>
      </c>
      <c r="G44" s="72" t="s">
        <v>65</v>
      </c>
      <c r="H44" s="53" t="s">
        <v>352</v>
      </c>
      <c r="I44" s="64"/>
      <c r="J44" s="52"/>
      <c r="K44" s="52"/>
      <c r="L44" s="52"/>
      <c r="M44" s="52"/>
      <c r="N44" s="54"/>
      <c r="O44" s="66"/>
      <c r="P44" s="51"/>
      <c r="Q44" s="51" t="s">
        <v>40</v>
      </c>
      <c r="R44" s="51"/>
      <c r="S44" s="51"/>
      <c r="T44" s="55"/>
      <c r="U44" s="69"/>
      <c r="V44" s="50"/>
      <c r="W44" s="50"/>
      <c r="X44" s="50"/>
      <c r="Y44" s="50"/>
      <c r="Z44" s="50"/>
      <c r="AA44" s="50"/>
      <c r="AB44" s="50"/>
      <c r="AC44" s="50">
        <f>IF(COUNTIF($C$3:C44,C44)=1,1,IF(COUNTIF($E$3:E44,E44)=1,2,0))</f>
        <v>0</v>
      </c>
      <c r="AD44" s="50" t="str">
        <f>IF(ISNUMBER(SEARCH("-",Database[[#This Row],[KEYNOTE '#]])),LEFT(Database[[#This Row],[KEYNOTE '#]],FIND("-",Database[[#This Row],[KEYNOTE '#]])-1),Database[[#This Row],[KEYNOTE '#]])</f>
        <v>GL</v>
      </c>
      <c r="AE4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44" s="50" t="str">
        <f>IF(AND(ISNUMBER(SEARCH("-",Database[[#This Row],[KEYNOTE '#]]))=TRUE,ISNUMBER(--RIGHT(Database[[#This Row],[KEYNOTE '#]]))=FALSE),RIGHT(Database[[#This Row],[KEYNOTE '#]],1),"")</f>
        <v/>
      </c>
      <c r="AG44" s="50">
        <v>42</v>
      </c>
      <c r="AH44" s="50" t="str">
        <f>IF(COUNTIF(Database[[#This Row],[BASE]:[INT. OTHER]],"g"),"INTERIOR",IF(COUNTIF(Database[[#This Row],[ROOF]:[EXT. OTHER]],"n"),"EXTERIOR",Database[[#This Row],[DIVISION '#]]))</f>
        <v>EXTERIOR</v>
      </c>
      <c r="AI44" s="50" t="str">
        <f>IF(OR(Database[[#This Row],[KEYTIER1]]="INTERIOR",Database[[#This Row],[KEYTIER1]]="EXTERIOR"),"",Database[[#This Row],[DIVISION NAME]])</f>
        <v/>
      </c>
      <c r="AJ44" s="50" t="str">
        <f>IF(Database[[#This Row],[KEYTIER1]]="INTERIOR","INT",IF(Database[[#This Row],[KEYTIER1]]="EXTERIOR","EXT",Database[[#This Row],[SECTION '#]]))</f>
        <v>EXT</v>
      </c>
      <c r="AK44" s="50" t="str">
        <f>IF(OR(Database[[#This Row],[KEYTIER2]]="INT",Database[[#This Row],[KEYTIER2]]="EXT"),"",IF(Database[[#This Row],[SECTION NAME]]="","",Database[[#This Row],[SECTION NAME]]))</f>
        <v/>
      </c>
    </row>
    <row r="45" spans="2:37" ht="29" x14ac:dyDescent="0.35">
      <c r="B45" s="50" t="s">
        <v>36</v>
      </c>
      <c r="C45" s="50">
        <v>8</v>
      </c>
      <c r="D45" s="50" t="s">
        <v>63</v>
      </c>
      <c r="E45" s="50">
        <v>88000</v>
      </c>
      <c r="F45" s="53" t="s">
        <v>339</v>
      </c>
      <c r="G45" s="72" t="s">
        <v>353</v>
      </c>
      <c r="H45" s="53" t="s">
        <v>354</v>
      </c>
      <c r="I45" s="64"/>
      <c r="J45" s="52"/>
      <c r="K45" s="52"/>
      <c r="L45" s="52"/>
      <c r="M45" s="52"/>
      <c r="N45" s="54"/>
      <c r="O45" s="66"/>
      <c r="P45" s="51"/>
      <c r="Q45" s="51" t="s">
        <v>40</v>
      </c>
      <c r="R45" s="51"/>
      <c r="S45" s="51"/>
      <c r="T45" s="55"/>
      <c r="U45" s="69"/>
      <c r="V45" s="50"/>
      <c r="W45" s="50"/>
      <c r="X45" s="50"/>
      <c r="Y45" s="50"/>
      <c r="Z45" s="50"/>
      <c r="AA45" s="50"/>
      <c r="AB45" s="50"/>
      <c r="AC45" s="50">
        <f>IF(COUNTIF($C$3:C45,C45)=1,1,IF(COUNTIF($E$3:E45,E45)=1,2,0))</f>
        <v>0</v>
      </c>
      <c r="AD45" s="50" t="str">
        <f>IF(ISNUMBER(SEARCH("-",Database[[#This Row],[KEYNOTE '#]])),LEFT(Database[[#This Row],[KEYNOTE '#]],FIND("-",Database[[#This Row],[KEYNOTE '#]])-1),Database[[#This Row],[KEYNOTE '#]])</f>
        <v>GL</v>
      </c>
      <c r="AE4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45" s="50" t="str">
        <f>IF(AND(ISNUMBER(SEARCH("-",Database[[#This Row],[KEYNOTE '#]]))=TRUE,ISNUMBER(--RIGHT(Database[[#This Row],[KEYNOTE '#]]))=FALSE),RIGHT(Database[[#This Row],[KEYNOTE '#]],1),"")</f>
        <v/>
      </c>
      <c r="AG45" s="50">
        <v>43</v>
      </c>
      <c r="AH45" s="50" t="str">
        <f>IF(COUNTIF(Database[[#This Row],[BASE]:[INT. OTHER]],"g"),"INTERIOR",IF(COUNTIF(Database[[#This Row],[ROOF]:[EXT. OTHER]],"n"),"EXTERIOR",Database[[#This Row],[DIVISION '#]]))</f>
        <v>EXTERIOR</v>
      </c>
      <c r="AI45" s="50" t="str">
        <f>IF(OR(Database[[#This Row],[KEYTIER1]]="INTERIOR",Database[[#This Row],[KEYTIER1]]="EXTERIOR"),"",Database[[#This Row],[DIVISION NAME]])</f>
        <v/>
      </c>
      <c r="AJ45" s="50" t="str">
        <f>IF(Database[[#This Row],[KEYTIER1]]="INTERIOR","INT",IF(Database[[#This Row],[KEYTIER1]]="EXTERIOR","EXT",Database[[#This Row],[SECTION '#]]))</f>
        <v>EXT</v>
      </c>
      <c r="AK45" s="50" t="str">
        <f>IF(OR(Database[[#This Row],[KEYTIER2]]="INT",Database[[#This Row],[KEYTIER2]]="EXT"),"",IF(Database[[#This Row],[SECTION NAME]]="","",Database[[#This Row],[SECTION NAME]]))</f>
        <v/>
      </c>
    </row>
    <row r="46" spans="2:37" ht="29" x14ac:dyDescent="0.35">
      <c r="B46" s="50" t="s">
        <v>36</v>
      </c>
      <c r="C46" s="50">
        <v>8</v>
      </c>
      <c r="D46" s="50" t="s">
        <v>63</v>
      </c>
      <c r="E46" s="50">
        <v>89000</v>
      </c>
      <c r="F46" s="53" t="s">
        <v>355</v>
      </c>
      <c r="G46" s="72" t="s">
        <v>66</v>
      </c>
      <c r="H46" s="53" t="s">
        <v>356</v>
      </c>
      <c r="I46" s="64"/>
      <c r="J46" s="52"/>
      <c r="K46" s="52"/>
      <c r="L46" s="52"/>
      <c r="M46" s="52"/>
      <c r="N46" s="54"/>
      <c r="O46" s="66"/>
      <c r="P46" s="51"/>
      <c r="Q46" s="51"/>
      <c r="R46" s="51"/>
      <c r="S46" s="51"/>
      <c r="T46" s="55" t="s">
        <v>40</v>
      </c>
      <c r="U46" s="69"/>
      <c r="V46" s="50"/>
      <c r="W46" s="50"/>
      <c r="X46" s="50"/>
      <c r="Y46" s="50"/>
      <c r="Z46" s="50"/>
      <c r="AA46" s="50"/>
      <c r="AB46" s="50"/>
      <c r="AC46" s="50">
        <f>IF(COUNTIF($C$3:C46,C46)=1,1,IF(COUNTIF($E$3:E46,E46)=1,2,0))</f>
        <v>2</v>
      </c>
      <c r="AD46" s="50" t="str">
        <f>IF(ISNUMBER(SEARCH("-",Database[[#This Row],[KEYNOTE '#]])),LEFT(Database[[#This Row],[KEYNOTE '#]],FIND("-",Database[[#This Row],[KEYNOTE '#]])-1),Database[[#This Row],[KEYNOTE '#]])</f>
        <v>LVR</v>
      </c>
      <c r="AE4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46" s="50" t="str">
        <f>IF(AND(ISNUMBER(SEARCH("-",Database[[#This Row],[KEYNOTE '#]]))=TRUE,ISNUMBER(--RIGHT(Database[[#This Row],[KEYNOTE '#]]))=FALSE),RIGHT(Database[[#This Row],[KEYNOTE '#]],1),"")</f>
        <v/>
      </c>
      <c r="AG46" s="50">
        <v>44</v>
      </c>
      <c r="AH46" s="50" t="str">
        <f>IF(COUNTIF(Database[[#This Row],[BASE]:[INT. OTHER]],"g"),"INTERIOR",IF(COUNTIF(Database[[#This Row],[ROOF]:[EXT. OTHER]],"n"),"EXTERIOR",Database[[#This Row],[DIVISION '#]]))</f>
        <v>EXTERIOR</v>
      </c>
      <c r="AI46" s="50" t="str">
        <f>IF(OR(Database[[#This Row],[KEYTIER1]]="INTERIOR",Database[[#This Row],[KEYTIER1]]="EXTERIOR"),"",Database[[#This Row],[DIVISION NAME]])</f>
        <v/>
      </c>
      <c r="AJ46" s="50" t="str">
        <f>IF(Database[[#This Row],[KEYTIER1]]="INTERIOR","INT",IF(Database[[#This Row],[KEYTIER1]]="EXTERIOR","EXT",Database[[#This Row],[SECTION '#]]))</f>
        <v>EXT</v>
      </c>
      <c r="AK46" s="50" t="str">
        <f>IF(OR(Database[[#This Row],[KEYTIER2]]="INT",Database[[#This Row],[KEYTIER2]]="EXT"),"",IF(Database[[#This Row],[SECTION NAME]]="","",Database[[#This Row],[SECTION NAME]]))</f>
        <v/>
      </c>
    </row>
    <row r="47" spans="2:37" ht="116" x14ac:dyDescent="0.35">
      <c r="B47" s="50" t="s">
        <v>36</v>
      </c>
      <c r="C47" s="50">
        <v>9</v>
      </c>
      <c r="D47" s="50" t="s">
        <v>67</v>
      </c>
      <c r="E47" s="50">
        <v>92216</v>
      </c>
      <c r="F47" s="53" t="s">
        <v>357</v>
      </c>
      <c r="G47" s="72" t="s">
        <v>358</v>
      </c>
      <c r="H47" s="53" t="s">
        <v>359</v>
      </c>
      <c r="I47" s="64"/>
      <c r="J47" s="52"/>
      <c r="K47" s="52"/>
      <c r="L47" s="52"/>
      <c r="M47" s="52"/>
      <c r="N47" s="54"/>
      <c r="O47" s="66"/>
      <c r="P47" s="51"/>
      <c r="Q47" s="51"/>
      <c r="R47" s="51"/>
      <c r="S47" s="51"/>
      <c r="T47" s="55"/>
      <c r="U47" s="69"/>
      <c r="V47" s="50"/>
      <c r="W47" s="50"/>
      <c r="X47" s="50"/>
      <c r="Y47" s="50"/>
      <c r="Z47" s="50"/>
      <c r="AA47" s="50"/>
      <c r="AB47" s="50"/>
      <c r="AC47" s="50">
        <f>IF(COUNTIF($C$3:C47,C47)=1,1,IF(COUNTIF($E$3:E47,E47)=1,2,0))</f>
        <v>1</v>
      </c>
      <c r="AD47" s="50" t="str">
        <f>IF(ISNUMBER(SEARCH("-",Database[[#This Row],[KEYNOTE '#]])),LEFT(Database[[#This Row],[KEYNOTE '#]],FIND("-",Database[[#This Row],[KEYNOTE '#]])-1),Database[[#This Row],[KEYNOTE '#]])</f>
        <v>STD</v>
      </c>
      <c r="AE4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7" s="50" t="str">
        <f>IF(AND(ISNUMBER(SEARCH("-",Database[[#This Row],[KEYNOTE '#]]))=TRUE,ISNUMBER(--RIGHT(Database[[#This Row],[KEYNOTE '#]]))=FALSE),RIGHT(Database[[#This Row],[KEYNOTE '#]],1),"")</f>
        <v/>
      </c>
      <c r="AG47" s="50">
        <v>45</v>
      </c>
      <c r="AH47" s="50">
        <f>IF(COUNTIF(Database[[#This Row],[BASE]:[INT. OTHER]],"g"),"INTERIOR",IF(COUNTIF(Database[[#This Row],[ROOF]:[EXT. OTHER]],"n"),"EXTERIOR",Database[[#This Row],[DIVISION '#]]))</f>
        <v>9</v>
      </c>
      <c r="AI47" s="50" t="str">
        <f>IF(OR(Database[[#This Row],[KEYTIER1]]="INTERIOR",Database[[#This Row],[KEYTIER1]]="EXTERIOR"),"",Database[[#This Row],[DIVISION NAME]])</f>
        <v>DIVISION 09 - FINISHES</v>
      </c>
      <c r="AJ47" s="50">
        <f>IF(Database[[#This Row],[KEYTIER1]]="INTERIOR","INT",IF(Database[[#This Row],[KEYTIER1]]="EXTERIOR","EXT",Database[[#This Row],[SECTION '#]]))</f>
        <v>92216</v>
      </c>
      <c r="AK47" s="50" t="str">
        <f>IF(OR(Database[[#This Row],[KEYTIER2]]="INT",Database[[#This Row],[KEYTIER2]]="EXT"),"",IF(Database[[#This Row],[SECTION NAME]]="","",Database[[#This Row],[SECTION NAME]]))</f>
        <v>SECTION 092216 - NON-STRUCTURAL METAL FRAMING</v>
      </c>
    </row>
    <row r="48" spans="2:37" ht="29" x14ac:dyDescent="0.35">
      <c r="B48" s="50" t="s">
        <v>36</v>
      </c>
      <c r="C48" s="50">
        <v>9</v>
      </c>
      <c r="D48" s="50" t="s">
        <v>67</v>
      </c>
      <c r="E48" s="50">
        <v>92226</v>
      </c>
      <c r="F48" s="53" t="s">
        <v>542</v>
      </c>
      <c r="G48" s="72" t="s">
        <v>533</v>
      </c>
      <c r="H48" s="53" t="s">
        <v>540</v>
      </c>
      <c r="I48" s="64"/>
      <c r="J48" s="52"/>
      <c r="K48" s="52" t="s">
        <v>38</v>
      </c>
      <c r="L48" s="52"/>
      <c r="M48" s="52"/>
      <c r="N48" s="54"/>
      <c r="O48" s="66"/>
      <c r="P48" s="51"/>
      <c r="Q48" s="51"/>
      <c r="R48" s="51"/>
      <c r="S48" s="51"/>
      <c r="T48" s="55"/>
      <c r="U48" s="69"/>
      <c r="V48" s="50"/>
      <c r="W48" s="50"/>
      <c r="X48" s="50"/>
      <c r="Y48" s="50"/>
      <c r="Z48" s="50"/>
      <c r="AA48" s="50"/>
      <c r="AB48" s="50"/>
      <c r="AC48" s="50">
        <f>IF(COUNTIF($C$3:C48,C48)=1,1,IF(COUNTIF($E$3:E48,E48)=1,2,0))</f>
        <v>2</v>
      </c>
      <c r="AD48" s="50" t="str">
        <f>IF(ISNUMBER(SEARCH("-",Database[[#This Row],[KEYNOTE '#]])),LEFT(Database[[#This Row],[KEYNOTE '#]],FIND("-",Database[[#This Row],[KEYNOTE '#]])-1),Database[[#This Row],[KEYNOTE '#]])</f>
        <v>GWB</v>
      </c>
      <c r="AE4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8" s="50" t="str">
        <f>IF(AND(ISNUMBER(SEARCH("-",Database[[#This Row],[KEYNOTE '#]]))=TRUE,ISNUMBER(--RIGHT(Database[[#This Row],[KEYNOTE '#]]))=FALSE),RIGHT(Database[[#This Row],[KEYNOTE '#]],1),"")</f>
        <v>A</v>
      </c>
      <c r="AG48" s="50">
        <v>46</v>
      </c>
      <c r="AH48" s="50" t="str">
        <f>IF(COUNTIF(Database[[#This Row],[BASE]:[INT. OTHER]],"g"),"INTERIOR",IF(COUNTIF(Database[[#This Row],[ROOF]:[EXT. OTHER]],"n"),"EXTERIOR",Database[[#This Row],[DIVISION '#]]))</f>
        <v>INTERIOR</v>
      </c>
      <c r="AI48" s="50" t="str">
        <f>IF(OR(Database[[#This Row],[KEYTIER1]]="INTERIOR",Database[[#This Row],[KEYTIER1]]="EXTERIOR"),"",Database[[#This Row],[DIVISION NAME]])</f>
        <v/>
      </c>
      <c r="AJ48" s="50" t="str">
        <f>IF(Database[[#This Row],[KEYTIER1]]="INTERIOR","INT",IF(Database[[#This Row],[KEYTIER1]]="EXTERIOR","EXT",Database[[#This Row],[SECTION '#]]))</f>
        <v>INT</v>
      </c>
      <c r="AK48" s="50" t="str">
        <f>IF(OR(Database[[#This Row],[KEYTIER2]]="INT",Database[[#This Row],[KEYTIER2]]="EXT"),"",IF(Database[[#This Row],[SECTION NAME]]="","",Database[[#This Row],[SECTION NAME]]))</f>
        <v/>
      </c>
    </row>
    <row r="49" spans="2:37" ht="29" x14ac:dyDescent="0.35">
      <c r="B49" s="50" t="s">
        <v>36</v>
      </c>
      <c r="C49" s="50">
        <v>9</v>
      </c>
      <c r="D49" s="50" t="s">
        <v>67</v>
      </c>
      <c r="E49" s="50">
        <v>92226</v>
      </c>
      <c r="F49" s="53" t="s">
        <v>542</v>
      </c>
      <c r="G49" s="72" t="s">
        <v>543</v>
      </c>
      <c r="H49" s="53" t="s">
        <v>541</v>
      </c>
      <c r="I49" s="64"/>
      <c r="J49" s="52"/>
      <c r="K49" s="52" t="s">
        <v>38</v>
      </c>
      <c r="L49" s="52"/>
      <c r="M49" s="52"/>
      <c r="N49" s="54"/>
      <c r="O49" s="66"/>
      <c r="P49" s="51"/>
      <c r="Q49" s="51"/>
      <c r="R49" s="51"/>
      <c r="S49" s="51"/>
      <c r="T49" s="55"/>
      <c r="U49" s="69"/>
      <c r="V49" s="50"/>
      <c r="W49" s="50"/>
      <c r="X49" s="50"/>
      <c r="Y49" s="50"/>
      <c r="Z49" s="50"/>
      <c r="AA49" s="50"/>
      <c r="AB49" s="50"/>
      <c r="AC49" s="50">
        <f>IF(COUNTIF($C$3:C49,C49)=1,1,IF(COUNTIF($E$3:E49,E49)=1,2,0))</f>
        <v>0</v>
      </c>
      <c r="AD49" s="50" t="str">
        <f>IF(ISNUMBER(SEARCH("-",Database[[#This Row],[KEYNOTE '#]])),LEFT(Database[[#This Row],[KEYNOTE '#]],FIND("-",Database[[#This Row],[KEYNOTE '#]])-1),Database[[#This Row],[KEYNOTE '#]])</f>
        <v>GWB</v>
      </c>
      <c r="AE4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9" s="50" t="str">
        <f>IF(AND(ISNUMBER(SEARCH("-",Database[[#This Row],[KEYNOTE '#]]))=TRUE,ISNUMBER(--RIGHT(Database[[#This Row],[KEYNOTE '#]]))=FALSE),RIGHT(Database[[#This Row],[KEYNOTE '#]],1),"")</f>
        <v>B</v>
      </c>
      <c r="AG49" s="50">
        <v>47</v>
      </c>
      <c r="AH49" s="50" t="str">
        <f>IF(COUNTIF(Database[[#This Row],[BASE]:[INT. OTHER]],"g"),"INTERIOR",IF(COUNTIF(Database[[#This Row],[ROOF]:[EXT. OTHER]],"n"),"EXTERIOR",Database[[#This Row],[DIVISION '#]]))</f>
        <v>INTERIOR</v>
      </c>
      <c r="AI49" s="50" t="str">
        <f>IF(OR(Database[[#This Row],[KEYTIER1]]="INTERIOR",Database[[#This Row],[KEYTIER1]]="EXTERIOR"),"",Database[[#This Row],[DIVISION NAME]])</f>
        <v/>
      </c>
      <c r="AJ49" s="50" t="str">
        <f>IF(Database[[#This Row],[KEYTIER1]]="INTERIOR","INT",IF(Database[[#This Row],[KEYTIER1]]="EXTERIOR","EXT",Database[[#This Row],[SECTION '#]]))</f>
        <v>INT</v>
      </c>
      <c r="AK49" s="50" t="str">
        <f>IF(OR(Database[[#This Row],[KEYTIER2]]="INT",Database[[#This Row],[KEYTIER2]]="EXT"),"",IF(Database[[#This Row],[SECTION NAME]]="","",Database[[#This Row],[SECTION NAME]]))</f>
        <v/>
      </c>
    </row>
    <row r="50" spans="2:37" ht="29" x14ac:dyDescent="0.35">
      <c r="B50" s="50" t="s">
        <v>36</v>
      </c>
      <c r="C50" s="50">
        <v>9</v>
      </c>
      <c r="D50" s="50" t="s">
        <v>67</v>
      </c>
      <c r="E50" s="50">
        <v>92400</v>
      </c>
      <c r="F50" s="53" t="s">
        <v>360</v>
      </c>
      <c r="G50" s="72" t="s">
        <v>68</v>
      </c>
      <c r="H50" s="53" t="s">
        <v>361</v>
      </c>
      <c r="I50" s="64"/>
      <c r="J50" s="52"/>
      <c r="K50" s="52"/>
      <c r="L50" s="52"/>
      <c r="M50" s="52"/>
      <c r="N50" s="54"/>
      <c r="O50" s="66"/>
      <c r="P50" s="51"/>
      <c r="Q50" s="51"/>
      <c r="R50" s="51" t="s">
        <v>40</v>
      </c>
      <c r="S50" s="51"/>
      <c r="T50" s="55"/>
      <c r="U50" s="69"/>
      <c r="V50" s="50"/>
      <c r="W50" s="50"/>
      <c r="X50" s="50"/>
      <c r="Y50" s="50"/>
      <c r="Z50" s="50"/>
      <c r="AA50" s="50"/>
      <c r="AB50" s="50"/>
      <c r="AC50" s="50">
        <f>IF(COUNTIF($C$3:C50,C50)=1,1,IF(COUNTIF($E$3:E50,E50)=1,2,0))</f>
        <v>2</v>
      </c>
      <c r="AD50" s="50" t="str">
        <f>IF(ISNUMBER(SEARCH("-",Database[[#This Row],[KEYNOTE '#]])),LEFT(Database[[#This Row],[KEYNOTE '#]],FIND("-",Database[[#This Row],[KEYNOTE '#]])-1),Database[[#This Row],[KEYNOTE '#]])</f>
        <v>STC</v>
      </c>
      <c r="AE5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50" s="50" t="str">
        <f>IF(AND(ISNUMBER(SEARCH("-",Database[[#This Row],[KEYNOTE '#]]))=TRUE,ISNUMBER(--RIGHT(Database[[#This Row],[KEYNOTE '#]]))=FALSE),RIGHT(Database[[#This Row],[KEYNOTE '#]],1),"")</f>
        <v/>
      </c>
      <c r="AG50" s="50">
        <v>48</v>
      </c>
      <c r="AH50" s="50" t="str">
        <f>IF(COUNTIF(Database[[#This Row],[BASE]:[INT. OTHER]],"g"),"INTERIOR",IF(COUNTIF(Database[[#This Row],[ROOF]:[EXT. OTHER]],"n"),"EXTERIOR",Database[[#This Row],[DIVISION '#]]))</f>
        <v>EXTERIOR</v>
      </c>
      <c r="AI50" s="50" t="str">
        <f>IF(OR(Database[[#This Row],[KEYTIER1]]="INTERIOR",Database[[#This Row],[KEYTIER1]]="EXTERIOR"),"",Database[[#This Row],[DIVISION NAME]])</f>
        <v/>
      </c>
      <c r="AJ50" s="50" t="str">
        <f>IF(Database[[#This Row],[KEYTIER1]]="INTERIOR","INT",IF(Database[[#This Row],[KEYTIER1]]="EXTERIOR","EXT",Database[[#This Row],[SECTION '#]]))</f>
        <v>EXT</v>
      </c>
      <c r="AK50" s="50" t="str">
        <f>IF(OR(Database[[#This Row],[KEYTIER2]]="INT",Database[[#This Row],[KEYTIER2]]="EXT"),"",IF(Database[[#This Row],[SECTION NAME]]="","",Database[[#This Row],[SECTION NAME]]))</f>
        <v/>
      </c>
    </row>
    <row r="51" spans="2:37" ht="29" x14ac:dyDescent="0.35">
      <c r="B51" s="50" t="s">
        <v>36</v>
      </c>
      <c r="C51" s="50">
        <v>9</v>
      </c>
      <c r="D51" s="50" t="s">
        <v>67</v>
      </c>
      <c r="E51" s="50">
        <v>92400</v>
      </c>
      <c r="F51" s="53" t="s">
        <v>571</v>
      </c>
      <c r="G51" s="72" t="s">
        <v>564</v>
      </c>
      <c r="H51" s="53" t="s">
        <v>565</v>
      </c>
      <c r="I51" s="64"/>
      <c r="J51" s="52"/>
      <c r="K51" s="52" t="s">
        <v>38</v>
      </c>
      <c r="L51" s="52"/>
      <c r="M51" s="52"/>
      <c r="N51" s="54"/>
      <c r="O51" s="66"/>
      <c r="P51" s="51"/>
      <c r="Q51" s="51"/>
      <c r="R51" s="51"/>
      <c r="S51" s="51"/>
      <c r="T51" s="55"/>
      <c r="U51" s="69"/>
      <c r="V51" s="50"/>
      <c r="W51" s="50"/>
      <c r="X51" s="50"/>
      <c r="Y51" s="50"/>
      <c r="Z51" s="50"/>
      <c r="AA51" s="50"/>
      <c r="AB51" s="50"/>
      <c r="AC51" s="50">
        <f>IF(COUNTIF($C$3:C51,C51)=1,1,IF(COUNTIF($E$3:E51,E51)=1,2,0))</f>
        <v>0</v>
      </c>
      <c r="AD51" s="50" t="str">
        <f>IF(ISNUMBER(SEARCH("-",Database[[#This Row],[KEYNOTE '#]])),LEFT(Database[[#This Row],[KEYNOTE '#]],FIND("-",Database[[#This Row],[KEYNOTE '#]])-1),Database[[#This Row],[KEYNOTE '#]])</f>
        <v>STO</v>
      </c>
      <c r="AE5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1" s="50" t="str">
        <f>IF(AND(ISNUMBER(SEARCH("-",Database[[#This Row],[KEYNOTE '#]]))=TRUE,ISNUMBER(--RIGHT(Database[[#This Row],[KEYNOTE '#]]))=FALSE),RIGHT(Database[[#This Row],[KEYNOTE '#]],1),"")</f>
        <v/>
      </c>
      <c r="AG51" s="50">
        <v>49</v>
      </c>
      <c r="AH51" s="50" t="str">
        <f>IF(COUNTIF(Database[[#This Row],[BASE]:[INT. OTHER]],"g"),"INTERIOR",IF(COUNTIF(Database[[#This Row],[ROOF]:[EXT. OTHER]],"n"),"EXTERIOR",Database[[#This Row],[DIVISION '#]]))</f>
        <v>INTERIOR</v>
      </c>
      <c r="AI51" s="50" t="str">
        <f>IF(OR(Database[[#This Row],[KEYTIER1]]="INTERIOR",Database[[#This Row],[KEYTIER1]]="EXTERIOR"),"",Database[[#This Row],[DIVISION NAME]])</f>
        <v/>
      </c>
      <c r="AJ51" s="50" t="str">
        <f>IF(Database[[#This Row],[KEYTIER1]]="INTERIOR","INT",IF(Database[[#This Row],[KEYTIER1]]="EXTERIOR","EXT",Database[[#This Row],[SECTION '#]]))</f>
        <v>INT</v>
      </c>
      <c r="AK51" s="50" t="str">
        <f>IF(OR(Database[[#This Row],[KEYTIER2]]="INT",Database[[#This Row],[KEYTIER2]]="EXT"),"",IF(Database[[#This Row],[SECTION NAME]]="","",Database[[#This Row],[SECTION NAME]]))</f>
        <v/>
      </c>
    </row>
    <row r="52" spans="2:37" ht="29" x14ac:dyDescent="0.35">
      <c r="B52" s="50" t="s">
        <v>36</v>
      </c>
      <c r="C52" s="50">
        <v>9</v>
      </c>
      <c r="D52" s="50" t="s">
        <v>67</v>
      </c>
      <c r="E52" s="50">
        <v>92900</v>
      </c>
      <c r="F52" s="53" t="s">
        <v>569</v>
      </c>
      <c r="G52" s="72" t="s">
        <v>550</v>
      </c>
      <c r="H52" s="53" t="s">
        <v>552</v>
      </c>
      <c r="I52" s="64"/>
      <c r="J52" s="52"/>
      <c r="K52" s="52" t="s">
        <v>38</v>
      </c>
      <c r="L52" s="52"/>
      <c r="M52" s="52"/>
      <c r="N52" s="54"/>
      <c r="O52" s="66"/>
      <c r="P52" s="51"/>
      <c r="Q52" s="51"/>
      <c r="R52" s="51"/>
      <c r="S52" s="51"/>
      <c r="T52" s="55"/>
      <c r="U52" s="69"/>
      <c r="V52" s="50"/>
      <c r="W52" s="50"/>
      <c r="X52" s="50"/>
      <c r="Y52" s="50"/>
      <c r="Z52" s="50"/>
      <c r="AA52" s="50"/>
      <c r="AB52" s="50"/>
      <c r="AC52" s="50">
        <f>IF(COUNTIF($C$3:C52,C52)=1,1,IF(COUNTIF($E$3:E52,E52)=1,2,0))</f>
        <v>2</v>
      </c>
      <c r="AD52" s="50" t="str">
        <f>IF(ISNUMBER(SEARCH("-",Database[[#This Row],[KEYNOTE '#]])),LEFT(Database[[#This Row],[KEYNOTE '#]],FIND("-",Database[[#This Row],[KEYNOTE '#]])-1),Database[[#This Row],[KEYNOTE '#]])</f>
        <v>FRC</v>
      </c>
      <c r="AE5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2" s="50" t="str">
        <f>IF(AND(ISNUMBER(SEARCH("-",Database[[#This Row],[KEYNOTE '#]]))=TRUE,ISNUMBER(--RIGHT(Database[[#This Row],[KEYNOTE '#]]))=FALSE),RIGHT(Database[[#This Row],[KEYNOTE '#]],1),"")</f>
        <v/>
      </c>
      <c r="AG52" s="50">
        <v>50</v>
      </c>
      <c r="AH52" s="50" t="str">
        <f>IF(COUNTIF(Database[[#This Row],[BASE]:[INT. OTHER]],"g"),"INTERIOR",IF(COUNTIF(Database[[#This Row],[ROOF]:[EXT. OTHER]],"n"),"EXTERIOR",Database[[#This Row],[DIVISION '#]]))</f>
        <v>INTERIOR</v>
      </c>
      <c r="AI52" s="50" t="str">
        <f>IF(OR(Database[[#This Row],[KEYTIER1]]="INTERIOR",Database[[#This Row],[KEYTIER1]]="EXTERIOR"),"",Database[[#This Row],[DIVISION NAME]])</f>
        <v/>
      </c>
      <c r="AJ52" s="50" t="str">
        <f>IF(Database[[#This Row],[KEYTIER1]]="INTERIOR","INT",IF(Database[[#This Row],[KEYTIER1]]="EXTERIOR","EXT",Database[[#This Row],[SECTION '#]]))</f>
        <v>INT</v>
      </c>
      <c r="AK52" s="50" t="str">
        <f>IF(OR(Database[[#This Row],[KEYTIER2]]="INT",Database[[#This Row],[KEYTIER2]]="EXT"),"",IF(Database[[#This Row],[SECTION NAME]]="","",Database[[#This Row],[SECTION NAME]]))</f>
        <v/>
      </c>
    </row>
    <row r="53" spans="2:37" s="61" customFormat="1" ht="29" x14ac:dyDescent="0.35">
      <c r="B53" s="50" t="s">
        <v>36</v>
      </c>
      <c r="C53" s="50">
        <v>9</v>
      </c>
      <c r="D53" s="50" t="s">
        <v>67</v>
      </c>
      <c r="E53" s="50">
        <v>92901</v>
      </c>
      <c r="F53" s="53" t="s">
        <v>569</v>
      </c>
      <c r="G53" s="72" t="s">
        <v>551</v>
      </c>
      <c r="H53" s="53" t="s">
        <v>553</v>
      </c>
      <c r="I53" s="64"/>
      <c r="J53" s="52"/>
      <c r="K53" s="52" t="s">
        <v>38</v>
      </c>
      <c r="L53" s="52"/>
      <c r="M53" s="52"/>
      <c r="N53" s="54"/>
      <c r="O53" s="66"/>
      <c r="P53" s="51"/>
      <c r="Q53" s="51"/>
      <c r="R53" s="51"/>
      <c r="S53" s="51"/>
      <c r="T53" s="55"/>
      <c r="U53" s="69"/>
      <c r="V53" s="50"/>
      <c r="W53" s="50"/>
      <c r="X53" s="50"/>
      <c r="Y53" s="50"/>
      <c r="Z53" s="50"/>
      <c r="AA53" s="50"/>
      <c r="AB53" s="50"/>
      <c r="AC53" s="50">
        <f>IF(COUNTIF($C$3:C53,C53)=1,1,IF(COUNTIF($E$3:E53,E53)=1,2,0))</f>
        <v>2</v>
      </c>
      <c r="AD53" s="50" t="str">
        <f>IF(ISNUMBER(SEARCH("-",Database[[#This Row],[KEYNOTE '#]])),LEFT(Database[[#This Row],[KEYNOTE '#]],FIND("-",Database[[#This Row],[KEYNOTE '#]])-1),Database[[#This Row],[KEYNOTE '#]])</f>
        <v>FRC</v>
      </c>
      <c r="AE5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3" s="50" t="str">
        <f>IF(AND(ISNUMBER(SEARCH("-",Database[[#This Row],[KEYNOTE '#]]))=TRUE,ISNUMBER(--RIGHT(Database[[#This Row],[KEYNOTE '#]]))=FALSE),RIGHT(Database[[#This Row],[KEYNOTE '#]],1),"")</f>
        <v/>
      </c>
      <c r="AG53" s="50">
        <v>51</v>
      </c>
      <c r="AH53" s="50" t="str">
        <f>IF(COUNTIF(Database[[#This Row],[BASE]:[INT. OTHER]],"g"),"INTERIOR",IF(COUNTIF(Database[[#This Row],[ROOF]:[EXT. OTHER]],"n"),"EXTERIOR",Database[[#This Row],[DIVISION '#]]))</f>
        <v>INTERIOR</v>
      </c>
      <c r="AI53" s="50" t="str">
        <f>IF(OR(Database[[#This Row],[KEYTIER1]]="INTERIOR",Database[[#This Row],[KEYTIER1]]="EXTERIOR"),"",Database[[#This Row],[DIVISION NAME]])</f>
        <v/>
      </c>
      <c r="AJ53" s="50" t="str">
        <f>IF(Database[[#This Row],[KEYTIER1]]="INTERIOR","INT",IF(Database[[#This Row],[KEYTIER1]]="EXTERIOR","EXT",Database[[#This Row],[SECTION '#]]))</f>
        <v>INT</v>
      </c>
      <c r="AK53" s="50" t="str">
        <f>IF(OR(Database[[#This Row],[KEYTIER2]]="INT",Database[[#This Row],[KEYTIER2]]="EXT"),"",IF(Database[[#This Row],[SECTION NAME]]="","",Database[[#This Row],[SECTION NAME]]))</f>
        <v/>
      </c>
    </row>
    <row r="54" spans="2:37" ht="58" x14ac:dyDescent="0.35">
      <c r="B54" s="50" t="s">
        <v>36</v>
      </c>
      <c r="C54" s="50">
        <v>9</v>
      </c>
      <c r="D54" s="50" t="s">
        <v>67</v>
      </c>
      <c r="E54" s="50">
        <v>92900</v>
      </c>
      <c r="F54" s="53" t="s">
        <v>362</v>
      </c>
      <c r="G54" s="72" t="s">
        <v>363</v>
      </c>
      <c r="H54" s="53" t="s">
        <v>364</v>
      </c>
      <c r="I54" s="64"/>
      <c r="J54" s="52"/>
      <c r="K54" s="52"/>
      <c r="L54" s="52"/>
      <c r="M54" s="52"/>
      <c r="N54" s="54"/>
      <c r="O54" s="66"/>
      <c r="P54" s="51"/>
      <c r="Q54" s="51"/>
      <c r="R54" s="51"/>
      <c r="S54" s="51"/>
      <c r="T54" s="55"/>
      <c r="U54" s="69"/>
      <c r="V54" s="50"/>
      <c r="W54" s="50"/>
      <c r="X54" s="50"/>
      <c r="Y54" s="50"/>
      <c r="Z54" s="50"/>
      <c r="AA54" s="50"/>
      <c r="AB54" s="50"/>
      <c r="AC54" s="50">
        <f>IF(COUNTIF($C$3:C54,C54)=1,1,IF(COUNTIF($E$3:E54,E54)=1,2,0))</f>
        <v>0</v>
      </c>
      <c r="AD54" s="50" t="str">
        <f>IF(ISNUMBER(SEARCH("-",Database[[#This Row],[KEYNOTE '#]])),LEFT(Database[[#This Row],[KEYNOTE '#]],FIND("-",Database[[#This Row],[KEYNOTE '#]])-1),Database[[#This Row],[KEYNOTE '#]])</f>
        <v>GWB</v>
      </c>
      <c r="AE5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4" s="50" t="str">
        <f>IF(AND(ISNUMBER(SEARCH("-",Database[[#This Row],[KEYNOTE '#]]))=TRUE,ISNUMBER(--RIGHT(Database[[#This Row],[KEYNOTE '#]]))=FALSE),RIGHT(Database[[#This Row],[KEYNOTE '#]],1),"")</f>
        <v/>
      </c>
      <c r="AG54" s="50">
        <v>52</v>
      </c>
      <c r="AH54" s="50">
        <f>IF(COUNTIF(Database[[#This Row],[BASE]:[INT. OTHER]],"g"),"INTERIOR",IF(COUNTIF(Database[[#This Row],[ROOF]:[EXT. OTHER]],"n"),"EXTERIOR",Database[[#This Row],[DIVISION '#]]))</f>
        <v>9</v>
      </c>
      <c r="AI54" s="50" t="str">
        <f>IF(OR(Database[[#This Row],[KEYTIER1]]="INTERIOR",Database[[#This Row],[KEYTIER1]]="EXTERIOR"),"",Database[[#This Row],[DIVISION NAME]])</f>
        <v>DIVISION 09 - FINISHES</v>
      </c>
      <c r="AJ54" s="50">
        <f>IF(Database[[#This Row],[KEYTIER1]]="INTERIOR","INT",IF(Database[[#This Row],[KEYTIER1]]="EXTERIOR","EXT",Database[[#This Row],[SECTION '#]]))</f>
        <v>92900</v>
      </c>
      <c r="AK54" s="50" t="str">
        <f>IF(OR(Database[[#This Row],[KEYTIER2]]="INT",Database[[#This Row],[KEYTIER2]]="EXT"),"",IF(Database[[#This Row],[SECTION NAME]]="","",Database[[#This Row],[SECTION NAME]]))</f>
        <v>SECTION 092900 - GYPSUM BOARD</v>
      </c>
    </row>
    <row r="55" spans="2:37" ht="58" x14ac:dyDescent="0.35">
      <c r="B55" s="50" t="s">
        <v>36</v>
      </c>
      <c r="C55" s="50">
        <v>9</v>
      </c>
      <c r="D55" s="50" t="s">
        <v>67</v>
      </c>
      <c r="E55" s="50">
        <v>92900</v>
      </c>
      <c r="F55" s="53" t="s">
        <v>362</v>
      </c>
      <c r="G55" s="72" t="s">
        <v>365</v>
      </c>
      <c r="H55" s="53" t="s">
        <v>366</v>
      </c>
      <c r="I55" s="64"/>
      <c r="J55" s="52"/>
      <c r="K55" s="52"/>
      <c r="L55" s="52"/>
      <c r="M55" s="52"/>
      <c r="N55" s="54"/>
      <c r="O55" s="66"/>
      <c r="P55" s="51"/>
      <c r="Q55" s="51"/>
      <c r="R55" s="51"/>
      <c r="S55" s="51"/>
      <c r="T55" s="55"/>
      <c r="U55" s="69"/>
      <c r="V55" s="50"/>
      <c r="W55" s="50"/>
      <c r="X55" s="50"/>
      <c r="Y55" s="50"/>
      <c r="Z55" s="50"/>
      <c r="AA55" s="50"/>
      <c r="AB55" s="50"/>
      <c r="AC55" s="50">
        <f>IF(COUNTIF($C$3:C55,C55)=1,1,IF(COUNTIF($E$3:E55,E55)=1,2,0))</f>
        <v>0</v>
      </c>
      <c r="AD55" s="50" t="str">
        <f>IF(ISNUMBER(SEARCH("-",Database[[#This Row],[KEYNOTE '#]])),LEFT(Database[[#This Row],[KEYNOTE '#]],FIND("-",Database[[#This Row],[KEYNOTE '#]])-1),Database[[#This Row],[KEYNOTE '#]])</f>
        <v>GWB</v>
      </c>
      <c r="AE5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55" s="50" t="str">
        <f>IF(AND(ISNUMBER(SEARCH("-",Database[[#This Row],[KEYNOTE '#]]))=TRUE,ISNUMBER(--RIGHT(Database[[#This Row],[KEYNOTE '#]]))=FALSE),RIGHT(Database[[#This Row],[KEYNOTE '#]],1),"")</f>
        <v/>
      </c>
      <c r="AG55" s="50">
        <v>53</v>
      </c>
      <c r="AH55" s="50">
        <f>IF(COUNTIF(Database[[#This Row],[BASE]:[INT. OTHER]],"g"),"INTERIOR",IF(COUNTIF(Database[[#This Row],[ROOF]:[EXT. OTHER]],"n"),"EXTERIOR",Database[[#This Row],[DIVISION '#]]))</f>
        <v>9</v>
      </c>
      <c r="AI55" s="50" t="str">
        <f>IF(OR(Database[[#This Row],[KEYTIER1]]="INTERIOR",Database[[#This Row],[KEYTIER1]]="EXTERIOR"),"",Database[[#This Row],[DIVISION NAME]])</f>
        <v>DIVISION 09 - FINISHES</v>
      </c>
      <c r="AJ55" s="50">
        <f>IF(Database[[#This Row],[KEYTIER1]]="INTERIOR","INT",IF(Database[[#This Row],[KEYTIER1]]="EXTERIOR","EXT",Database[[#This Row],[SECTION '#]]))</f>
        <v>92900</v>
      </c>
      <c r="AK55" s="50" t="str">
        <f>IF(OR(Database[[#This Row],[KEYTIER2]]="INT",Database[[#This Row],[KEYTIER2]]="EXT"),"",IF(Database[[#This Row],[SECTION NAME]]="","",Database[[#This Row],[SECTION NAME]]))</f>
        <v>SECTION 092900 - GYPSUM BOARD</v>
      </c>
    </row>
    <row r="56" spans="2:37" ht="29" x14ac:dyDescent="0.35">
      <c r="B56" s="50" t="s">
        <v>36</v>
      </c>
      <c r="C56" s="50">
        <v>9</v>
      </c>
      <c r="D56" s="50" t="s">
        <v>67</v>
      </c>
      <c r="E56" s="50">
        <v>93000</v>
      </c>
      <c r="F56" s="53" t="s">
        <v>367</v>
      </c>
      <c r="G56" s="72" t="s">
        <v>368</v>
      </c>
      <c r="H56" s="53" t="s">
        <v>369</v>
      </c>
      <c r="I56" s="64"/>
      <c r="J56" s="52" t="s">
        <v>38</v>
      </c>
      <c r="K56" s="52"/>
      <c r="L56" s="52"/>
      <c r="M56" s="52"/>
      <c r="N56" s="54"/>
      <c r="O56" s="66"/>
      <c r="P56" s="51"/>
      <c r="Q56" s="51"/>
      <c r="R56" s="51"/>
      <c r="S56" s="51"/>
      <c r="T56" s="55"/>
      <c r="U56" s="69"/>
      <c r="V56" s="50"/>
      <c r="W56" s="50"/>
      <c r="X56" s="50"/>
      <c r="Y56" s="50"/>
      <c r="Z56" s="50"/>
      <c r="AA56" s="50"/>
      <c r="AB56" s="50"/>
      <c r="AC56" s="50">
        <f>IF(COUNTIF($C$3:C56,C56)=1,1,IF(COUNTIF($E$3:E56,E56)=1,2,0))</f>
        <v>2</v>
      </c>
      <c r="AD56" s="50" t="str">
        <f>IF(ISNUMBER(SEARCH("-",Database[[#This Row],[KEYNOTE '#]])),LEFT(Database[[#This Row],[KEYNOTE '#]],FIND("-",Database[[#This Row],[KEYNOTE '#]])-1),Database[[#This Row],[KEYNOTE '#]])</f>
        <v>TL</v>
      </c>
      <c r="AE5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6" s="50" t="str">
        <f>IF(AND(ISNUMBER(SEARCH("-",Database[[#This Row],[KEYNOTE '#]]))=TRUE,ISNUMBER(--RIGHT(Database[[#This Row],[KEYNOTE '#]]))=FALSE),RIGHT(Database[[#This Row],[KEYNOTE '#]],1),"")</f>
        <v/>
      </c>
      <c r="AG56" s="50">
        <v>54</v>
      </c>
      <c r="AH56" s="50" t="str">
        <f>IF(COUNTIF(Database[[#This Row],[BASE]:[INT. OTHER]],"g"),"INTERIOR",IF(COUNTIF(Database[[#This Row],[ROOF]:[EXT. OTHER]],"n"),"EXTERIOR",Database[[#This Row],[DIVISION '#]]))</f>
        <v>INTERIOR</v>
      </c>
      <c r="AI56" s="50" t="str">
        <f>IF(OR(Database[[#This Row],[KEYTIER1]]="INTERIOR",Database[[#This Row],[KEYTIER1]]="EXTERIOR"),"",Database[[#This Row],[DIVISION NAME]])</f>
        <v/>
      </c>
      <c r="AJ56" s="50" t="str">
        <f>IF(Database[[#This Row],[KEYTIER1]]="INTERIOR","INT",IF(Database[[#This Row],[KEYTIER1]]="EXTERIOR","EXT",Database[[#This Row],[SECTION '#]]))</f>
        <v>INT</v>
      </c>
      <c r="AK56" s="50" t="str">
        <f>IF(OR(Database[[#This Row],[KEYTIER2]]="INT",Database[[#This Row],[KEYTIER2]]="EXT"),"",IF(Database[[#This Row],[SECTION NAME]]="","",Database[[#This Row],[SECTION NAME]]))</f>
        <v/>
      </c>
    </row>
    <row r="57" spans="2:37" ht="29" x14ac:dyDescent="0.35">
      <c r="B57" s="50" t="s">
        <v>36</v>
      </c>
      <c r="C57" s="50">
        <v>9</v>
      </c>
      <c r="D57" s="50" t="s">
        <v>67</v>
      </c>
      <c r="E57" s="50">
        <v>93000</v>
      </c>
      <c r="F57" s="53" t="s">
        <v>367</v>
      </c>
      <c r="G57" s="72" t="s">
        <v>370</v>
      </c>
      <c r="H57" s="53" t="s">
        <v>371</v>
      </c>
      <c r="I57" s="64"/>
      <c r="J57" s="52"/>
      <c r="K57" s="52"/>
      <c r="L57" s="52" t="s">
        <v>38</v>
      </c>
      <c r="M57" s="52"/>
      <c r="N57" s="54"/>
      <c r="O57" s="66"/>
      <c r="P57" s="51"/>
      <c r="Q57" s="51"/>
      <c r="R57" s="51"/>
      <c r="S57" s="51"/>
      <c r="T57" s="55"/>
      <c r="U57" s="69"/>
      <c r="V57" s="50"/>
      <c r="W57" s="50"/>
      <c r="X57" s="50"/>
      <c r="Y57" s="50"/>
      <c r="Z57" s="50"/>
      <c r="AA57" s="50"/>
      <c r="AB57" s="50"/>
      <c r="AC57" s="50">
        <f>IF(COUNTIF($C$3:C57,C57)=1,1,IF(COUNTIF($E$3:E57,E57)=1,2,0))</f>
        <v>0</v>
      </c>
      <c r="AD57" s="50" t="str">
        <f>IF(ISNUMBER(SEARCH("-",Database[[#This Row],[KEYNOTE '#]])),LEFT(Database[[#This Row],[KEYNOTE '#]],FIND("-",Database[[#This Row],[KEYNOTE '#]])-1),Database[[#This Row],[KEYNOTE '#]])</f>
        <v>TL</v>
      </c>
      <c r="AE5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7" s="50" t="str">
        <f>IF(AND(ISNUMBER(SEARCH("-",Database[[#This Row],[KEYNOTE '#]]))=TRUE,ISNUMBER(--RIGHT(Database[[#This Row],[KEYNOTE '#]]))=FALSE),RIGHT(Database[[#This Row],[KEYNOTE '#]],1),"")</f>
        <v/>
      </c>
      <c r="AG57" s="50">
        <v>55</v>
      </c>
      <c r="AH57" s="50" t="str">
        <f>IF(COUNTIF(Database[[#This Row],[BASE]:[INT. OTHER]],"g"),"INTERIOR",IF(COUNTIF(Database[[#This Row],[ROOF]:[EXT. OTHER]],"n"),"EXTERIOR",Database[[#This Row],[DIVISION '#]]))</f>
        <v>INTERIOR</v>
      </c>
      <c r="AI57" s="50" t="str">
        <f>IF(OR(Database[[#This Row],[KEYTIER1]]="INTERIOR",Database[[#This Row],[KEYTIER1]]="EXTERIOR"),"",Database[[#This Row],[DIVISION NAME]])</f>
        <v/>
      </c>
      <c r="AJ57" s="50" t="str">
        <f>IF(Database[[#This Row],[KEYTIER1]]="INTERIOR","INT",IF(Database[[#This Row],[KEYTIER1]]="EXTERIOR","EXT",Database[[#This Row],[SECTION '#]]))</f>
        <v>INT</v>
      </c>
      <c r="AK57" s="50" t="str">
        <f>IF(OR(Database[[#This Row],[KEYTIER2]]="INT",Database[[#This Row],[KEYTIER2]]="EXT"),"",IF(Database[[#This Row],[SECTION NAME]]="","",Database[[#This Row],[SECTION NAME]]))</f>
        <v/>
      </c>
    </row>
    <row r="58" spans="2:37" ht="29" x14ac:dyDescent="0.35">
      <c r="B58" s="50" t="s">
        <v>36</v>
      </c>
      <c r="C58" s="50">
        <v>9</v>
      </c>
      <c r="D58" s="50" t="s">
        <v>67</v>
      </c>
      <c r="E58" s="50">
        <v>95113</v>
      </c>
      <c r="F58" s="53" t="s">
        <v>372</v>
      </c>
      <c r="G58" s="72" t="s">
        <v>373</v>
      </c>
      <c r="H58" s="53" t="s">
        <v>562</v>
      </c>
      <c r="I58" s="64"/>
      <c r="J58" s="52"/>
      <c r="K58" s="52" t="s">
        <v>38</v>
      </c>
      <c r="L58" s="52"/>
      <c r="M58" s="52"/>
      <c r="N58" s="54"/>
      <c r="O58" s="66"/>
      <c r="P58" s="51"/>
      <c r="Q58" s="51"/>
      <c r="R58" s="51"/>
      <c r="S58" s="51"/>
      <c r="T58" s="55"/>
      <c r="U58" s="69"/>
      <c r="V58" s="50"/>
      <c r="W58" s="50"/>
      <c r="X58" s="50"/>
      <c r="Y58" s="50"/>
      <c r="Z58" s="50"/>
      <c r="AA58" s="50"/>
      <c r="AB58" s="50"/>
      <c r="AC58" s="50">
        <f>IF(COUNTIF($C$3:C58,C58)=1,1,IF(COUNTIF($E$3:E58,E58)=1,2,0))</f>
        <v>2</v>
      </c>
      <c r="AD58" s="50" t="str">
        <f>IF(ISNUMBER(SEARCH("-",Database[[#This Row],[KEYNOTE '#]])),LEFT(Database[[#This Row],[KEYNOTE '#]],FIND("-",Database[[#This Row],[KEYNOTE '#]])-1),Database[[#This Row],[KEYNOTE '#]])</f>
        <v>ACP</v>
      </c>
      <c r="AE5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8" s="50" t="str">
        <f>IF(AND(ISNUMBER(SEARCH("-",Database[[#This Row],[KEYNOTE '#]]))=TRUE,ISNUMBER(--RIGHT(Database[[#This Row],[KEYNOTE '#]]))=FALSE),RIGHT(Database[[#This Row],[KEYNOTE '#]],1),"")</f>
        <v/>
      </c>
      <c r="AG58" s="50">
        <v>56</v>
      </c>
      <c r="AH58" s="50" t="str">
        <f>IF(COUNTIF(Database[[#This Row],[BASE]:[INT. OTHER]],"g"),"INTERIOR",IF(COUNTIF(Database[[#This Row],[ROOF]:[EXT. OTHER]],"n"),"EXTERIOR",Database[[#This Row],[DIVISION '#]]))</f>
        <v>INTERIOR</v>
      </c>
      <c r="AI58" s="50" t="str">
        <f>IF(OR(Database[[#This Row],[KEYTIER1]]="INTERIOR",Database[[#This Row],[KEYTIER1]]="EXTERIOR"),"",Database[[#This Row],[DIVISION NAME]])</f>
        <v/>
      </c>
      <c r="AJ58" s="50" t="str">
        <f>IF(Database[[#This Row],[KEYTIER1]]="INTERIOR","INT",IF(Database[[#This Row],[KEYTIER1]]="EXTERIOR","EXT",Database[[#This Row],[SECTION '#]]))</f>
        <v>INT</v>
      </c>
      <c r="AK58" s="50" t="str">
        <f>IF(OR(Database[[#This Row],[KEYTIER2]]="INT",Database[[#This Row],[KEYTIER2]]="EXT"),"",IF(Database[[#This Row],[SECTION NAME]]="","",Database[[#This Row],[SECTION NAME]]))</f>
        <v/>
      </c>
    </row>
    <row r="59" spans="2:37" ht="29" x14ac:dyDescent="0.35">
      <c r="B59" s="50" t="s">
        <v>36</v>
      </c>
      <c r="C59" s="50">
        <v>9</v>
      </c>
      <c r="D59" s="50" t="s">
        <v>67</v>
      </c>
      <c r="E59" s="50">
        <v>95123</v>
      </c>
      <c r="F59" s="53" t="s">
        <v>374</v>
      </c>
      <c r="G59" s="72" t="s">
        <v>375</v>
      </c>
      <c r="H59" s="53" t="s">
        <v>376</v>
      </c>
      <c r="I59" s="64"/>
      <c r="J59" s="52"/>
      <c r="K59" s="52" t="s">
        <v>38</v>
      </c>
      <c r="L59" s="52"/>
      <c r="M59" s="52"/>
      <c r="N59" s="54"/>
      <c r="O59" s="66"/>
      <c r="P59" s="51"/>
      <c r="Q59" s="51"/>
      <c r="R59" s="51"/>
      <c r="S59" s="51"/>
      <c r="T59" s="55"/>
      <c r="U59" s="69"/>
      <c r="V59" s="50"/>
      <c r="W59" s="50"/>
      <c r="X59" s="50"/>
      <c r="Y59" s="50"/>
      <c r="Z59" s="50"/>
      <c r="AA59" s="50"/>
      <c r="AB59" s="50"/>
      <c r="AC59" s="50">
        <f>IF(COUNTIF($C$3:C59,C59)=1,1,IF(COUNTIF($E$3:E59,E59)=1,2,0))</f>
        <v>2</v>
      </c>
      <c r="AD59" s="50" t="str">
        <f>IF(ISNUMBER(SEARCH("-",Database[[#This Row],[KEYNOTE '#]])),LEFT(Database[[#This Row],[KEYNOTE '#]],FIND("-",Database[[#This Row],[KEYNOTE '#]])-1),Database[[#This Row],[KEYNOTE '#]])</f>
        <v>ACT</v>
      </c>
      <c r="AE5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9" s="50" t="str">
        <f>IF(AND(ISNUMBER(SEARCH("-",Database[[#This Row],[KEYNOTE '#]]))=TRUE,ISNUMBER(--RIGHT(Database[[#This Row],[KEYNOTE '#]]))=FALSE),RIGHT(Database[[#This Row],[KEYNOTE '#]],1),"")</f>
        <v/>
      </c>
      <c r="AG59" s="50">
        <v>57</v>
      </c>
      <c r="AH59" s="50" t="str">
        <f>IF(COUNTIF(Database[[#This Row],[BASE]:[INT. OTHER]],"g"),"INTERIOR",IF(COUNTIF(Database[[#This Row],[ROOF]:[EXT. OTHER]],"n"),"EXTERIOR",Database[[#This Row],[DIVISION '#]]))</f>
        <v>INTERIOR</v>
      </c>
      <c r="AI59" s="50" t="str">
        <f>IF(OR(Database[[#This Row],[KEYTIER1]]="INTERIOR",Database[[#This Row],[KEYTIER1]]="EXTERIOR"),"",Database[[#This Row],[DIVISION NAME]])</f>
        <v/>
      </c>
      <c r="AJ59" s="50" t="str">
        <f>IF(Database[[#This Row],[KEYTIER1]]="INTERIOR","INT",IF(Database[[#This Row],[KEYTIER1]]="EXTERIOR","EXT",Database[[#This Row],[SECTION '#]]))</f>
        <v>INT</v>
      </c>
      <c r="AK59" s="50" t="str">
        <f>IF(OR(Database[[#This Row],[KEYTIER2]]="INT",Database[[#This Row],[KEYTIER2]]="EXT"),"",IF(Database[[#This Row],[SECTION NAME]]="","",Database[[#This Row],[SECTION NAME]]))</f>
        <v/>
      </c>
    </row>
    <row r="60" spans="2:37" ht="29" x14ac:dyDescent="0.35">
      <c r="B60" s="50" t="s">
        <v>36</v>
      </c>
      <c r="C60" s="50">
        <v>9</v>
      </c>
      <c r="D60" s="50" t="s">
        <v>67</v>
      </c>
      <c r="E60" s="50">
        <v>95123</v>
      </c>
      <c r="F60" s="53" t="s">
        <v>374</v>
      </c>
      <c r="G60" s="72" t="s">
        <v>534</v>
      </c>
      <c r="H60" s="53" t="s">
        <v>376</v>
      </c>
      <c r="I60" s="64"/>
      <c r="J60" s="52"/>
      <c r="K60" s="52" t="s">
        <v>38</v>
      </c>
      <c r="L60" s="52"/>
      <c r="M60" s="52"/>
      <c r="N60" s="54"/>
      <c r="O60" s="66"/>
      <c r="P60" s="51"/>
      <c r="Q60" s="51"/>
      <c r="R60" s="51"/>
      <c r="S60" s="51"/>
      <c r="T60" s="55"/>
      <c r="U60" s="69"/>
      <c r="V60" s="50"/>
      <c r="W60" s="50"/>
      <c r="X60" s="50"/>
      <c r="Y60" s="50"/>
      <c r="Z60" s="50"/>
      <c r="AA60" s="50"/>
      <c r="AB60" s="50"/>
      <c r="AC60" s="50">
        <f>IF(COUNTIF($C$3:C60,C60)=1,1,IF(COUNTIF($E$3:E60,E60)=1,2,0))</f>
        <v>0</v>
      </c>
      <c r="AD60" s="50" t="str">
        <f>IF(ISNUMBER(SEARCH("-",Database[[#This Row],[KEYNOTE '#]])),LEFT(Database[[#This Row],[KEYNOTE '#]],FIND("-",Database[[#This Row],[KEYNOTE '#]])-1),Database[[#This Row],[KEYNOTE '#]])</f>
        <v>ACT</v>
      </c>
      <c r="AE6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0" s="50" t="str">
        <f>IF(AND(ISNUMBER(SEARCH("-",Database[[#This Row],[KEYNOTE '#]]))=TRUE,ISNUMBER(--RIGHT(Database[[#This Row],[KEYNOTE '#]]))=FALSE),RIGHT(Database[[#This Row],[KEYNOTE '#]],1),"")</f>
        <v>A</v>
      </c>
      <c r="AG60" s="50">
        <v>58</v>
      </c>
      <c r="AH60" s="50" t="str">
        <f>IF(COUNTIF(Database[[#This Row],[BASE]:[INT. OTHER]],"g"),"INTERIOR",IF(COUNTIF(Database[[#This Row],[ROOF]:[EXT. OTHER]],"n"),"EXTERIOR",Database[[#This Row],[DIVISION '#]]))</f>
        <v>INTERIOR</v>
      </c>
      <c r="AI60" s="50" t="str">
        <f>IF(OR(Database[[#This Row],[KEYTIER1]]="INTERIOR",Database[[#This Row],[KEYTIER1]]="EXTERIOR"),"",Database[[#This Row],[DIVISION NAME]])</f>
        <v/>
      </c>
      <c r="AJ60" s="50" t="str">
        <f>IF(Database[[#This Row],[KEYTIER1]]="INTERIOR","INT",IF(Database[[#This Row],[KEYTIER1]]="EXTERIOR","EXT",Database[[#This Row],[SECTION '#]]))</f>
        <v>INT</v>
      </c>
      <c r="AK60" s="50" t="str">
        <f>IF(OR(Database[[#This Row],[KEYTIER2]]="INT",Database[[#This Row],[KEYTIER2]]="EXT"),"",IF(Database[[#This Row],[SECTION NAME]]="","",Database[[#This Row],[SECTION NAME]]))</f>
        <v/>
      </c>
    </row>
    <row r="61" spans="2:37" ht="29" x14ac:dyDescent="0.35">
      <c r="B61" s="50" t="s">
        <v>36</v>
      </c>
      <c r="C61" s="50">
        <v>9</v>
      </c>
      <c r="D61" s="50" t="s">
        <v>67</v>
      </c>
      <c r="E61" s="50">
        <v>95123</v>
      </c>
      <c r="F61" s="53" t="s">
        <v>374</v>
      </c>
      <c r="G61" s="72" t="s">
        <v>535</v>
      </c>
      <c r="H61" s="53" t="s">
        <v>376</v>
      </c>
      <c r="I61" s="64"/>
      <c r="J61" s="52"/>
      <c r="K61" s="52" t="s">
        <v>38</v>
      </c>
      <c r="L61" s="52"/>
      <c r="M61" s="52"/>
      <c r="N61" s="54"/>
      <c r="O61" s="66"/>
      <c r="P61" s="51"/>
      <c r="Q61" s="51"/>
      <c r="R61" s="51"/>
      <c r="S61" s="51"/>
      <c r="T61" s="55"/>
      <c r="U61" s="69"/>
      <c r="V61" s="50"/>
      <c r="W61" s="50"/>
      <c r="X61" s="50"/>
      <c r="Y61" s="50"/>
      <c r="Z61" s="50"/>
      <c r="AA61" s="50"/>
      <c r="AB61" s="50"/>
      <c r="AC61" s="50">
        <f>IF(COUNTIF($C$3:C61,C61)=1,1,IF(COUNTIF($E$3:E61,E61)=1,2,0))</f>
        <v>0</v>
      </c>
      <c r="AD61" s="50" t="str">
        <f>IF(ISNUMBER(SEARCH("-",Database[[#This Row],[KEYNOTE '#]])),LEFT(Database[[#This Row],[KEYNOTE '#]],FIND("-",Database[[#This Row],[KEYNOTE '#]])-1),Database[[#This Row],[KEYNOTE '#]])</f>
        <v>ACT</v>
      </c>
      <c r="AE6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1" s="50" t="str">
        <f>IF(AND(ISNUMBER(SEARCH("-",Database[[#This Row],[KEYNOTE '#]]))=TRUE,ISNUMBER(--RIGHT(Database[[#This Row],[KEYNOTE '#]]))=FALSE),RIGHT(Database[[#This Row],[KEYNOTE '#]],1),"")</f>
        <v>B</v>
      </c>
      <c r="AG61" s="50">
        <v>59</v>
      </c>
      <c r="AH61" s="50" t="str">
        <f>IF(COUNTIF(Database[[#This Row],[BASE]:[INT. OTHER]],"g"),"INTERIOR",IF(COUNTIF(Database[[#This Row],[ROOF]:[EXT. OTHER]],"n"),"EXTERIOR",Database[[#This Row],[DIVISION '#]]))</f>
        <v>INTERIOR</v>
      </c>
      <c r="AI61" s="50" t="str">
        <f>IF(OR(Database[[#This Row],[KEYTIER1]]="INTERIOR",Database[[#This Row],[KEYTIER1]]="EXTERIOR"),"",Database[[#This Row],[DIVISION NAME]])</f>
        <v/>
      </c>
      <c r="AJ61" s="50" t="str">
        <f>IF(Database[[#This Row],[KEYTIER1]]="INTERIOR","INT",IF(Database[[#This Row],[KEYTIER1]]="EXTERIOR","EXT",Database[[#This Row],[SECTION '#]]))</f>
        <v>INT</v>
      </c>
      <c r="AK61" s="50" t="str">
        <f>IF(OR(Database[[#This Row],[KEYTIER2]]="INT",Database[[#This Row],[KEYTIER2]]="EXT"),"",IF(Database[[#This Row],[SECTION NAME]]="","",Database[[#This Row],[SECTION NAME]]))</f>
        <v/>
      </c>
    </row>
    <row r="62" spans="2:37" ht="29" x14ac:dyDescent="0.35">
      <c r="B62" s="50" t="s">
        <v>36</v>
      </c>
      <c r="C62" s="50">
        <v>9</v>
      </c>
      <c r="D62" s="50" t="s">
        <v>67</v>
      </c>
      <c r="E62" s="50">
        <v>95133</v>
      </c>
      <c r="F62" s="53" t="s">
        <v>381</v>
      </c>
      <c r="G62" s="72" t="s">
        <v>382</v>
      </c>
      <c r="H62" s="53" t="s">
        <v>383</v>
      </c>
      <c r="I62" s="64"/>
      <c r="J62" s="52"/>
      <c r="K62" s="52" t="s">
        <v>38</v>
      </c>
      <c r="L62" s="52"/>
      <c r="M62" s="52"/>
      <c r="N62" s="54"/>
      <c r="O62" s="66"/>
      <c r="P62" s="51"/>
      <c r="Q62" s="51"/>
      <c r="R62" s="51"/>
      <c r="S62" s="51"/>
      <c r="T62" s="55"/>
      <c r="U62" s="69"/>
      <c r="V62" s="50"/>
      <c r="W62" s="50"/>
      <c r="X62" s="50"/>
      <c r="Y62" s="50"/>
      <c r="Z62" s="50"/>
      <c r="AA62" s="50"/>
      <c r="AB62" s="50"/>
      <c r="AC62" s="50">
        <f>IF(COUNTIF($C$3:C62,C62)=1,1,IF(COUNTIF($E$3:E62,E62)=1,2,0))</f>
        <v>2</v>
      </c>
      <c r="AD62" s="50" t="str">
        <f>IF(ISNUMBER(SEARCH("-",Database[[#This Row],[KEYNOTE '#]])),LEFT(Database[[#This Row],[KEYNOTE '#]],FIND("-",Database[[#This Row],[KEYNOTE '#]])-1),Database[[#This Row],[KEYNOTE '#]])</f>
        <v>MCP</v>
      </c>
      <c r="AE6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2" s="50" t="str">
        <f>IF(AND(ISNUMBER(SEARCH("-",Database[[#This Row],[KEYNOTE '#]]))=TRUE,ISNUMBER(--RIGHT(Database[[#This Row],[KEYNOTE '#]]))=FALSE),RIGHT(Database[[#This Row],[KEYNOTE '#]],1),"")</f>
        <v/>
      </c>
      <c r="AG62" s="50">
        <v>60</v>
      </c>
      <c r="AH62" s="50" t="str">
        <f>IF(COUNTIF(Database[[#This Row],[BASE]:[INT. OTHER]],"g"),"INTERIOR",IF(COUNTIF(Database[[#This Row],[ROOF]:[EXT. OTHER]],"n"),"EXTERIOR",Database[[#This Row],[DIVISION '#]]))</f>
        <v>INTERIOR</v>
      </c>
      <c r="AI62" s="50" t="str">
        <f>IF(OR(Database[[#This Row],[KEYTIER1]]="INTERIOR",Database[[#This Row],[KEYTIER1]]="EXTERIOR"),"",Database[[#This Row],[DIVISION NAME]])</f>
        <v/>
      </c>
      <c r="AJ62" s="50" t="str">
        <f>IF(Database[[#This Row],[KEYTIER1]]="INTERIOR","INT",IF(Database[[#This Row],[KEYTIER1]]="EXTERIOR","EXT",Database[[#This Row],[SECTION '#]]))</f>
        <v>INT</v>
      </c>
      <c r="AK62" s="50" t="str">
        <f>IF(OR(Database[[#This Row],[KEYTIER2]]="INT",Database[[#This Row],[KEYTIER2]]="EXT"),"",IF(Database[[#This Row],[SECTION NAME]]="","",Database[[#This Row],[SECTION NAME]]))</f>
        <v/>
      </c>
    </row>
    <row r="63" spans="2:37" ht="29" x14ac:dyDescent="0.35">
      <c r="B63" s="50" t="s">
        <v>36</v>
      </c>
      <c r="C63" s="50">
        <v>9</v>
      </c>
      <c r="D63" s="50" t="s">
        <v>67</v>
      </c>
      <c r="E63" s="50">
        <v>95133</v>
      </c>
      <c r="F63" s="53" t="s">
        <v>381</v>
      </c>
      <c r="G63" s="72" t="s">
        <v>555</v>
      </c>
      <c r="H63" s="53" t="s">
        <v>383</v>
      </c>
      <c r="I63" s="64"/>
      <c r="J63" s="52"/>
      <c r="K63" s="52" t="s">
        <v>38</v>
      </c>
      <c r="L63" s="52"/>
      <c r="M63" s="52"/>
      <c r="N63" s="54"/>
      <c r="O63" s="66"/>
      <c r="P63" s="51"/>
      <c r="Q63" s="51"/>
      <c r="R63" s="51"/>
      <c r="S63" s="51"/>
      <c r="T63" s="55"/>
      <c r="U63" s="69"/>
      <c r="V63" s="50"/>
      <c r="W63" s="50"/>
      <c r="X63" s="50"/>
      <c r="Y63" s="50"/>
      <c r="Z63" s="50"/>
      <c r="AA63" s="50"/>
      <c r="AB63" s="50"/>
      <c r="AC63" s="50">
        <f>IF(COUNTIF($C$3:C63,C63)=1,1,IF(COUNTIF($E$3:E63,E63)=1,2,0))</f>
        <v>0</v>
      </c>
      <c r="AD63" s="50" t="str">
        <f>IF(ISNUMBER(SEARCH("-",Database[[#This Row],[KEYNOTE '#]])),LEFT(Database[[#This Row],[KEYNOTE '#]],FIND("-",Database[[#This Row],[KEYNOTE '#]])-1),Database[[#This Row],[KEYNOTE '#]])</f>
        <v>MCP</v>
      </c>
      <c r="AE6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3" s="50" t="str">
        <f>IF(AND(ISNUMBER(SEARCH("-",Database[[#This Row],[KEYNOTE '#]]))=TRUE,ISNUMBER(--RIGHT(Database[[#This Row],[KEYNOTE '#]]))=FALSE),RIGHT(Database[[#This Row],[KEYNOTE '#]],1),"")</f>
        <v>A</v>
      </c>
      <c r="AG63" s="50">
        <v>61</v>
      </c>
      <c r="AH63" s="50" t="str">
        <f>IF(COUNTIF(Database[[#This Row],[BASE]:[INT. OTHER]],"g"),"INTERIOR",IF(COUNTIF(Database[[#This Row],[ROOF]:[EXT. OTHER]],"n"),"EXTERIOR",Database[[#This Row],[DIVISION '#]]))</f>
        <v>INTERIOR</v>
      </c>
      <c r="AI63" s="50" t="str">
        <f>IF(OR(Database[[#This Row],[KEYTIER1]]="INTERIOR",Database[[#This Row],[KEYTIER1]]="EXTERIOR"),"",Database[[#This Row],[DIVISION NAME]])</f>
        <v/>
      </c>
      <c r="AJ63" s="50" t="str">
        <f>IF(Database[[#This Row],[KEYTIER1]]="INTERIOR","INT",IF(Database[[#This Row],[KEYTIER1]]="EXTERIOR","EXT",Database[[#This Row],[SECTION '#]]))</f>
        <v>INT</v>
      </c>
      <c r="AK63" s="50" t="str">
        <f>IF(OR(Database[[#This Row],[KEYTIER2]]="INT",Database[[#This Row],[KEYTIER2]]="EXT"),"",IF(Database[[#This Row],[SECTION NAME]]="","",Database[[#This Row],[SECTION NAME]]))</f>
        <v/>
      </c>
    </row>
    <row r="64" spans="2:37" ht="36" customHeight="1" x14ac:dyDescent="0.35">
      <c r="B64" s="50" t="s">
        <v>36</v>
      </c>
      <c r="C64" s="50">
        <v>9</v>
      </c>
      <c r="D64" s="50" t="s">
        <v>67</v>
      </c>
      <c r="E64" s="50">
        <v>95133</v>
      </c>
      <c r="F64" s="53" t="s">
        <v>381</v>
      </c>
      <c r="G64" s="72" t="s">
        <v>556</v>
      </c>
      <c r="H64" s="53" t="s">
        <v>383</v>
      </c>
      <c r="I64" s="64"/>
      <c r="J64" s="52"/>
      <c r="K64" s="52" t="s">
        <v>38</v>
      </c>
      <c r="L64" s="52"/>
      <c r="M64" s="52"/>
      <c r="N64" s="54"/>
      <c r="O64" s="66"/>
      <c r="P64" s="51"/>
      <c r="Q64" s="51"/>
      <c r="R64" s="51"/>
      <c r="S64" s="51"/>
      <c r="T64" s="55"/>
      <c r="U64" s="69"/>
      <c r="V64" s="50"/>
      <c r="W64" s="50"/>
      <c r="X64" s="50"/>
      <c r="Y64" s="50"/>
      <c r="Z64" s="50"/>
      <c r="AA64" s="50"/>
      <c r="AB64" s="50"/>
      <c r="AC64" s="50">
        <f>IF(COUNTIF($C$3:C64,C64)=1,1,IF(COUNTIF($E$3:E64,E64)=1,2,0))</f>
        <v>0</v>
      </c>
      <c r="AD64" s="50" t="str">
        <f>IF(ISNUMBER(SEARCH("-",Database[[#This Row],[KEYNOTE '#]])),LEFT(Database[[#This Row],[KEYNOTE '#]],FIND("-",Database[[#This Row],[KEYNOTE '#]])-1),Database[[#This Row],[KEYNOTE '#]])</f>
        <v>MCP</v>
      </c>
      <c r="AE6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4" s="50" t="str">
        <f>IF(AND(ISNUMBER(SEARCH("-",Database[[#This Row],[KEYNOTE '#]]))=TRUE,ISNUMBER(--RIGHT(Database[[#This Row],[KEYNOTE '#]]))=FALSE),RIGHT(Database[[#This Row],[KEYNOTE '#]],1),"")</f>
        <v>B</v>
      </c>
      <c r="AG64" s="50">
        <v>62</v>
      </c>
      <c r="AH64" s="50" t="str">
        <f>IF(COUNTIF(Database[[#This Row],[BASE]:[INT. OTHER]],"g"),"INTERIOR",IF(COUNTIF(Database[[#This Row],[ROOF]:[EXT. OTHER]],"n"),"EXTERIOR",Database[[#This Row],[DIVISION '#]]))</f>
        <v>INTERIOR</v>
      </c>
      <c r="AI64" s="50" t="str">
        <f>IF(OR(Database[[#This Row],[KEYTIER1]]="INTERIOR",Database[[#This Row],[KEYTIER1]]="EXTERIOR"),"",Database[[#This Row],[DIVISION NAME]])</f>
        <v/>
      </c>
      <c r="AJ64" s="50" t="str">
        <f>IF(Database[[#This Row],[KEYTIER1]]="INTERIOR","INT",IF(Database[[#This Row],[KEYTIER1]]="EXTERIOR","EXT",Database[[#This Row],[SECTION '#]]))</f>
        <v>INT</v>
      </c>
      <c r="AK64" s="50" t="str">
        <f>IF(OR(Database[[#This Row],[KEYTIER2]]="INT",Database[[#This Row],[KEYTIER2]]="EXT"),"",IF(Database[[#This Row],[SECTION NAME]]="","",Database[[#This Row],[SECTION NAME]]))</f>
        <v/>
      </c>
    </row>
    <row r="65" spans="2:37" ht="40.75" customHeight="1" x14ac:dyDescent="0.35">
      <c r="B65" s="50" t="s">
        <v>36</v>
      </c>
      <c r="C65" s="50">
        <v>9</v>
      </c>
      <c r="D65" s="50" t="s">
        <v>67</v>
      </c>
      <c r="E65" s="50">
        <v>95133</v>
      </c>
      <c r="F65" s="53" t="s">
        <v>381</v>
      </c>
      <c r="G65" s="72" t="s">
        <v>384</v>
      </c>
      <c r="H65" s="53" t="s">
        <v>573</v>
      </c>
      <c r="I65" s="64"/>
      <c r="J65" s="52"/>
      <c r="K65" s="52" t="s">
        <v>38</v>
      </c>
      <c r="L65" s="52"/>
      <c r="M65" s="52"/>
      <c r="N65" s="54"/>
      <c r="O65" s="66"/>
      <c r="P65" s="51"/>
      <c r="Q65" s="51"/>
      <c r="R65" s="51"/>
      <c r="S65" s="51"/>
      <c r="T65" s="55"/>
      <c r="U65" s="69"/>
      <c r="V65" s="50"/>
      <c r="W65" s="50"/>
      <c r="X65" s="50"/>
      <c r="Y65" s="50"/>
      <c r="Z65" s="50"/>
      <c r="AA65" s="50"/>
      <c r="AB65" s="50"/>
      <c r="AC65" s="50">
        <f>IF(COUNTIF($C$3:C65,C65)=1,1,IF(COUNTIF($E$3:E65,E65)=1,2,0))</f>
        <v>0</v>
      </c>
      <c r="AD65" s="50" t="str">
        <f>IF(ISNUMBER(SEARCH("-",Database[[#This Row],[KEYNOTE '#]])),LEFT(Database[[#This Row],[KEYNOTE '#]],FIND("-",Database[[#This Row],[KEYNOTE '#]])-1),Database[[#This Row],[KEYNOTE '#]])</f>
        <v>MCP</v>
      </c>
      <c r="AE6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5" s="50" t="str">
        <f>IF(AND(ISNUMBER(SEARCH("-",Database[[#This Row],[KEYNOTE '#]]))=TRUE,ISNUMBER(--RIGHT(Database[[#This Row],[KEYNOTE '#]]))=FALSE),RIGHT(Database[[#This Row],[KEYNOTE '#]],1),"")</f>
        <v/>
      </c>
      <c r="AG65" s="50">
        <v>63</v>
      </c>
      <c r="AH65" s="50" t="str">
        <f>IF(COUNTIF(Database[[#This Row],[BASE]:[INT. OTHER]],"g"),"INTERIOR",IF(COUNTIF(Database[[#This Row],[ROOF]:[EXT. OTHER]],"n"),"EXTERIOR",Database[[#This Row],[DIVISION '#]]))</f>
        <v>INTERIOR</v>
      </c>
      <c r="AI65" s="50" t="str">
        <f>IF(OR(Database[[#This Row],[KEYTIER1]]="INTERIOR",Database[[#This Row],[KEYTIER1]]="EXTERIOR"),"",Database[[#This Row],[DIVISION NAME]])</f>
        <v/>
      </c>
      <c r="AJ65" s="50" t="str">
        <f>IF(Database[[#This Row],[KEYTIER1]]="INTERIOR","INT",IF(Database[[#This Row],[KEYTIER1]]="EXTERIOR","EXT",Database[[#This Row],[SECTION '#]]))</f>
        <v>INT</v>
      </c>
      <c r="AK65" s="50" t="str">
        <f>IF(OR(Database[[#This Row],[KEYTIER2]]="INT",Database[[#This Row],[KEYTIER2]]="EXT"),"",IF(Database[[#This Row],[SECTION NAME]]="","",Database[[#This Row],[SECTION NAME]]))</f>
        <v/>
      </c>
    </row>
    <row r="66" spans="2:37" ht="37.75" customHeight="1" x14ac:dyDescent="0.35">
      <c r="B66" s="50" t="s">
        <v>36</v>
      </c>
      <c r="C66" s="50">
        <v>9</v>
      </c>
      <c r="D66" s="50" t="s">
        <v>67</v>
      </c>
      <c r="E66" s="50">
        <v>95133</v>
      </c>
      <c r="F66" s="53" t="s">
        <v>381</v>
      </c>
      <c r="G66" s="72" t="s">
        <v>557</v>
      </c>
      <c r="H66" s="53" t="s">
        <v>573</v>
      </c>
      <c r="I66" s="64"/>
      <c r="J66" s="52"/>
      <c r="K66" s="52" t="s">
        <v>38</v>
      </c>
      <c r="L66" s="52"/>
      <c r="M66" s="52"/>
      <c r="N66" s="54"/>
      <c r="O66" s="66"/>
      <c r="P66" s="51"/>
      <c r="Q66" s="51"/>
      <c r="R66" s="51"/>
      <c r="S66" s="51"/>
      <c r="T66" s="55"/>
      <c r="U66" s="69"/>
      <c r="V66" s="50"/>
      <c r="W66" s="50"/>
      <c r="X66" s="50"/>
      <c r="Y66" s="50"/>
      <c r="Z66" s="50"/>
      <c r="AA66" s="50"/>
      <c r="AB66" s="50"/>
      <c r="AC66" s="50">
        <f>IF(COUNTIF($C$3:C66,C66)=1,1,IF(COUNTIF($E$3:E66,E66)=1,2,0))</f>
        <v>0</v>
      </c>
      <c r="AD66" s="50" t="str">
        <f>IF(ISNUMBER(SEARCH("-",Database[[#This Row],[KEYNOTE '#]])),LEFT(Database[[#This Row],[KEYNOTE '#]],FIND("-",Database[[#This Row],[KEYNOTE '#]])-1),Database[[#This Row],[KEYNOTE '#]])</f>
        <v>MCP</v>
      </c>
      <c r="AE6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6" s="50" t="str">
        <f>IF(AND(ISNUMBER(SEARCH("-",Database[[#This Row],[KEYNOTE '#]]))=TRUE,ISNUMBER(--RIGHT(Database[[#This Row],[KEYNOTE '#]]))=FALSE),RIGHT(Database[[#This Row],[KEYNOTE '#]],1),"")</f>
        <v>A</v>
      </c>
      <c r="AG66" s="50">
        <v>64</v>
      </c>
      <c r="AH66" s="50" t="str">
        <f>IF(COUNTIF(Database[[#This Row],[BASE]:[INT. OTHER]],"g"),"INTERIOR",IF(COUNTIF(Database[[#This Row],[ROOF]:[EXT. OTHER]],"n"),"EXTERIOR",Database[[#This Row],[DIVISION '#]]))</f>
        <v>INTERIOR</v>
      </c>
      <c r="AI66" s="50" t="str">
        <f>IF(OR(Database[[#This Row],[KEYTIER1]]="INTERIOR",Database[[#This Row],[KEYTIER1]]="EXTERIOR"),"",Database[[#This Row],[DIVISION NAME]])</f>
        <v/>
      </c>
      <c r="AJ66" s="50" t="str">
        <f>IF(Database[[#This Row],[KEYTIER1]]="INTERIOR","INT",IF(Database[[#This Row],[KEYTIER1]]="EXTERIOR","EXT",Database[[#This Row],[SECTION '#]]))</f>
        <v>INT</v>
      </c>
      <c r="AK66" s="50" t="str">
        <f>IF(OR(Database[[#This Row],[KEYTIER2]]="INT",Database[[#This Row],[KEYTIER2]]="EXT"),"",IF(Database[[#This Row],[SECTION NAME]]="","",Database[[#This Row],[SECTION NAME]]))</f>
        <v/>
      </c>
    </row>
    <row r="67" spans="2:37" ht="29" x14ac:dyDescent="0.35">
      <c r="B67" s="50" t="s">
        <v>36</v>
      </c>
      <c r="C67" s="50">
        <v>9</v>
      </c>
      <c r="D67" s="50" t="s">
        <v>67</v>
      </c>
      <c r="E67" s="50">
        <v>95133</v>
      </c>
      <c r="F67" s="53" t="s">
        <v>381</v>
      </c>
      <c r="G67" s="72" t="s">
        <v>558</v>
      </c>
      <c r="H67" s="53" t="s">
        <v>573</v>
      </c>
      <c r="I67" s="64"/>
      <c r="J67" s="52"/>
      <c r="K67" s="52" t="s">
        <v>38</v>
      </c>
      <c r="L67" s="52"/>
      <c r="M67" s="52"/>
      <c r="N67" s="54"/>
      <c r="O67" s="66"/>
      <c r="P67" s="51"/>
      <c r="Q67" s="51"/>
      <c r="R67" s="51"/>
      <c r="S67" s="51"/>
      <c r="T67" s="55"/>
      <c r="U67" s="69"/>
      <c r="V67" s="50"/>
      <c r="W67" s="50"/>
      <c r="X67" s="50"/>
      <c r="Y67" s="50"/>
      <c r="Z67" s="50"/>
      <c r="AA67" s="50"/>
      <c r="AB67" s="50"/>
      <c r="AC67" s="50">
        <f>IF(COUNTIF($C$3:C67,C67)=1,1,IF(COUNTIF($E$3:E67,E67)=1,2,0))</f>
        <v>0</v>
      </c>
      <c r="AD67" s="50" t="str">
        <f>IF(ISNUMBER(SEARCH("-",Database[[#This Row],[KEYNOTE '#]])),LEFT(Database[[#This Row],[KEYNOTE '#]],FIND("-",Database[[#This Row],[KEYNOTE '#]])-1),Database[[#This Row],[KEYNOTE '#]])</f>
        <v>MCP</v>
      </c>
      <c r="AE6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7" s="50" t="str">
        <f>IF(AND(ISNUMBER(SEARCH("-",Database[[#This Row],[KEYNOTE '#]]))=TRUE,ISNUMBER(--RIGHT(Database[[#This Row],[KEYNOTE '#]]))=FALSE),RIGHT(Database[[#This Row],[KEYNOTE '#]],1),"")</f>
        <v>B</v>
      </c>
      <c r="AG67" s="50">
        <v>65</v>
      </c>
      <c r="AH67" s="50" t="str">
        <f>IF(COUNTIF(Database[[#This Row],[BASE]:[INT. OTHER]],"g"),"INTERIOR",IF(COUNTIF(Database[[#This Row],[ROOF]:[EXT. OTHER]],"n"),"EXTERIOR",Database[[#This Row],[DIVISION '#]]))</f>
        <v>INTERIOR</v>
      </c>
      <c r="AI67" s="50" t="str">
        <f>IF(OR(Database[[#This Row],[KEYTIER1]]="INTERIOR",Database[[#This Row],[KEYTIER1]]="EXTERIOR"),"",Database[[#This Row],[DIVISION NAME]])</f>
        <v/>
      </c>
      <c r="AJ67" s="50" t="str">
        <f>IF(Database[[#This Row],[KEYTIER1]]="INTERIOR","INT",IF(Database[[#This Row],[KEYTIER1]]="EXTERIOR","EXT",Database[[#This Row],[SECTION '#]]))</f>
        <v>INT</v>
      </c>
      <c r="AK67" s="50" t="str">
        <f>IF(OR(Database[[#This Row],[KEYTIER2]]="INT",Database[[#This Row],[KEYTIER2]]="EXT"),"",IF(Database[[#This Row],[SECTION NAME]]="","",Database[[#This Row],[SECTION NAME]]))</f>
        <v/>
      </c>
    </row>
    <row r="68" spans="2:37" ht="29" x14ac:dyDescent="0.35">
      <c r="B68" s="50" t="s">
        <v>36</v>
      </c>
      <c r="C68" s="50">
        <v>9</v>
      </c>
      <c r="D68" s="50" t="s">
        <v>67</v>
      </c>
      <c r="E68" s="50">
        <v>95423</v>
      </c>
      <c r="F68" s="53" t="s">
        <v>576</v>
      </c>
      <c r="G68" s="72" t="s">
        <v>559</v>
      </c>
      <c r="H68" s="53" t="s">
        <v>574</v>
      </c>
      <c r="I68" s="64"/>
      <c r="J68" s="52"/>
      <c r="K68" s="52" t="s">
        <v>38</v>
      </c>
      <c r="L68" s="52"/>
      <c r="M68" s="52"/>
      <c r="N68" s="54"/>
      <c r="O68" s="66"/>
      <c r="P68" s="51"/>
      <c r="Q68" s="51"/>
      <c r="R68" s="51"/>
      <c r="S68" s="51"/>
      <c r="T68" s="55"/>
      <c r="U68" s="69"/>
      <c r="V68" s="50"/>
      <c r="W68" s="50"/>
      <c r="X68" s="50"/>
      <c r="Y68" s="50"/>
      <c r="Z68" s="50"/>
      <c r="AA68" s="50"/>
      <c r="AB68" s="50"/>
      <c r="AC68" s="50">
        <f>IF(COUNTIF($C$3:C68,C68)=1,1,IF(COUNTIF($E$3:E68,E68)=1,2,0))</f>
        <v>2</v>
      </c>
      <c r="AD68" s="50" t="str">
        <f>IF(ISNUMBER(SEARCH("-",Database[[#This Row],[KEYNOTE '#]])),LEFT(Database[[#This Row],[KEYNOTE '#]],FIND("-",Database[[#This Row],[KEYNOTE '#]])-1),Database[[#This Row],[KEYNOTE '#]])</f>
        <v>MCP</v>
      </c>
      <c r="AE6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68" s="50" t="str">
        <f>IF(AND(ISNUMBER(SEARCH("-",Database[[#This Row],[KEYNOTE '#]]))=TRUE,ISNUMBER(--RIGHT(Database[[#This Row],[KEYNOTE '#]]))=FALSE),RIGHT(Database[[#This Row],[KEYNOTE '#]],1),"")</f>
        <v/>
      </c>
      <c r="AG68" s="50">
        <v>66</v>
      </c>
      <c r="AH68" s="50" t="str">
        <f>IF(COUNTIF(Database[[#This Row],[BASE]:[INT. OTHER]],"g"),"INTERIOR",IF(COUNTIF(Database[[#This Row],[ROOF]:[EXT. OTHER]],"n"),"EXTERIOR",Database[[#This Row],[DIVISION '#]]))</f>
        <v>INTERIOR</v>
      </c>
      <c r="AI68" s="50" t="str">
        <f>IF(OR(Database[[#This Row],[KEYTIER1]]="INTERIOR",Database[[#This Row],[KEYTIER1]]="EXTERIOR"),"",Database[[#This Row],[DIVISION NAME]])</f>
        <v/>
      </c>
      <c r="AJ68" s="50" t="str">
        <f>IF(Database[[#This Row],[KEYTIER1]]="INTERIOR","INT",IF(Database[[#This Row],[KEYTIER1]]="EXTERIOR","EXT",Database[[#This Row],[SECTION '#]]))</f>
        <v>INT</v>
      </c>
      <c r="AK68" s="50" t="str">
        <f>IF(OR(Database[[#This Row],[KEYTIER2]]="INT",Database[[#This Row],[KEYTIER2]]="EXT"),"",IF(Database[[#This Row],[SECTION NAME]]="","",Database[[#This Row],[SECTION NAME]]))</f>
        <v/>
      </c>
    </row>
    <row r="69" spans="2:37" ht="29" x14ac:dyDescent="0.35">
      <c r="B69" s="50" t="s">
        <v>36</v>
      </c>
      <c r="C69" s="50">
        <v>9</v>
      </c>
      <c r="D69" s="50" t="s">
        <v>67</v>
      </c>
      <c r="E69" s="50">
        <v>95423</v>
      </c>
      <c r="F69" s="53" t="s">
        <v>576</v>
      </c>
      <c r="G69" s="72" t="s">
        <v>560</v>
      </c>
      <c r="H69" s="53" t="s">
        <v>574</v>
      </c>
      <c r="I69" s="64"/>
      <c r="J69" s="52"/>
      <c r="K69" s="52" t="s">
        <v>38</v>
      </c>
      <c r="L69" s="52"/>
      <c r="M69" s="52"/>
      <c r="N69" s="54"/>
      <c r="O69" s="66"/>
      <c r="P69" s="51"/>
      <c r="Q69" s="51"/>
      <c r="R69" s="51"/>
      <c r="S69" s="51"/>
      <c r="T69" s="55"/>
      <c r="U69" s="69"/>
      <c r="V69" s="50"/>
      <c r="W69" s="50"/>
      <c r="X69" s="50"/>
      <c r="Y69" s="50"/>
      <c r="Z69" s="50"/>
      <c r="AA69" s="50"/>
      <c r="AB69" s="50"/>
      <c r="AC69" s="50">
        <f>IF(COUNTIF($C$3:C69,C69)=1,1,IF(COUNTIF($E$3:E69,E69)=1,2,0))</f>
        <v>0</v>
      </c>
      <c r="AD69" s="50" t="str">
        <f>IF(ISNUMBER(SEARCH("-",Database[[#This Row],[KEYNOTE '#]])),LEFT(Database[[#This Row],[KEYNOTE '#]],FIND("-",Database[[#This Row],[KEYNOTE '#]])-1),Database[[#This Row],[KEYNOTE '#]])</f>
        <v>MCP</v>
      </c>
      <c r="AE6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69" s="50" t="str">
        <f>IF(AND(ISNUMBER(SEARCH("-",Database[[#This Row],[KEYNOTE '#]]))=TRUE,ISNUMBER(--RIGHT(Database[[#This Row],[KEYNOTE '#]]))=FALSE),RIGHT(Database[[#This Row],[KEYNOTE '#]],1),"")</f>
        <v>A</v>
      </c>
      <c r="AG69" s="50">
        <v>67</v>
      </c>
      <c r="AH69" s="50" t="str">
        <f>IF(COUNTIF(Database[[#This Row],[BASE]:[INT. OTHER]],"g"),"INTERIOR",IF(COUNTIF(Database[[#This Row],[ROOF]:[EXT. OTHER]],"n"),"EXTERIOR",Database[[#This Row],[DIVISION '#]]))</f>
        <v>INTERIOR</v>
      </c>
      <c r="AI69" s="50" t="str">
        <f>IF(OR(Database[[#This Row],[KEYTIER1]]="INTERIOR",Database[[#This Row],[KEYTIER1]]="EXTERIOR"),"",Database[[#This Row],[DIVISION NAME]])</f>
        <v/>
      </c>
      <c r="AJ69" s="50" t="str">
        <f>IF(Database[[#This Row],[KEYTIER1]]="INTERIOR","INT",IF(Database[[#This Row],[KEYTIER1]]="EXTERIOR","EXT",Database[[#This Row],[SECTION '#]]))</f>
        <v>INT</v>
      </c>
      <c r="AK69" s="50" t="str">
        <f>IF(OR(Database[[#This Row],[KEYTIER2]]="INT",Database[[#This Row],[KEYTIER2]]="EXT"),"",IF(Database[[#This Row],[SECTION NAME]]="","",Database[[#This Row],[SECTION NAME]]))</f>
        <v/>
      </c>
    </row>
    <row r="70" spans="2:37" ht="29" x14ac:dyDescent="0.35">
      <c r="B70" s="50" t="s">
        <v>36</v>
      </c>
      <c r="C70" s="50">
        <v>9</v>
      </c>
      <c r="D70" s="50" t="s">
        <v>67</v>
      </c>
      <c r="E70" s="50">
        <v>95423</v>
      </c>
      <c r="F70" s="53" t="s">
        <v>576</v>
      </c>
      <c r="G70" s="72" t="s">
        <v>561</v>
      </c>
      <c r="H70" s="53" t="s">
        <v>574</v>
      </c>
      <c r="I70" s="64"/>
      <c r="J70" s="52"/>
      <c r="K70" s="52" t="s">
        <v>38</v>
      </c>
      <c r="L70" s="52"/>
      <c r="M70" s="52"/>
      <c r="N70" s="54"/>
      <c r="O70" s="66"/>
      <c r="P70" s="51"/>
      <c r="Q70" s="51"/>
      <c r="R70" s="51"/>
      <c r="S70" s="51"/>
      <c r="T70" s="55"/>
      <c r="U70" s="69"/>
      <c r="V70" s="50"/>
      <c r="W70" s="50"/>
      <c r="X70" s="50"/>
      <c r="Y70" s="50"/>
      <c r="Z70" s="50"/>
      <c r="AA70" s="50"/>
      <c r="AB70" s="50"/>
      <c r="AC70" s="50">
        <f>IF(COUNTIF($C$3:C70,C70)=1,1,IF(COUNTIF($E$3:E70,E70)=1,2,0))</f>
        <v>0</v>
      </c>
      <c r="AD70" s="50" t="str">
        <f>IF(ISNUMBER(SEARCH("-",Database[[#This Row],[KEYNOTE '#]])),LEFT(Database[[#This Row],[KEYNOTE '#]],FIND("-",Database[[#This Row],[KEYNOTE '#]])-1),Database[[#This Row],[KEYNOTE '#]])</f>
        <v>MCP</v>
      </c>
      <c r="AE7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70" s="50" t="str">
        <f>IF(AND(ISNUMBER(SEARCH("-",Database[[#This Row],[KEYNOTE '#]]))=TRUE,ISNUMBER(--RIGHT(Database[[#This Row],[KEYNOTE '#]]))=FALSE),RIGHT(Database[[#This Row],[KEYNOTE '#]],1),"")</f>
        <v>B</v>
      </c>
      <c r="AG70" s="50">
        <v>68</v>
      </c>
      <c r="AH70" s="50" t="str">
        <f>IF(COUNTIF(Database[[#This Row],[BASE]:[INT. OTHER]],"g"),"INTERIOR",IF(COUNTIF(Database[[#This Row],[ROOF]:[EXT. OTHER]],"n"),"EXTERIOR",Database[[#This Row],[DIVISION '#]]))</f>
        <v>INTERIOR</v>
      </c>
      <c r="AI70" s="50" t="str">
        <f>IF(OR(Database[[#This Row],[KEYTIER1]]="INTERIOR",Database[[#This Row],[KEYTIER1]]="EXTERIOR"),"",Database[[#This Row],[DIVISION NAME]])</f>
        <v/>
      </c>
      <c r="AJ70" s="50" t="str">
        <f>IF(Database[[#This Row],[KEYTIER1]]="INTERIOR","INT",IF(Database[[#This Row],[KEYTIER1]]="EXTERIOR","EXT",Database[[#This Row],[SECTION '#]]))</f>
        <v>INT</v>
      </c>
      <c r="AK70" s="50" t="str">
        <f>IF(OR(Database[[#This Row],[KEYTIER2]]="INT",Database[[#This Row],[KEYTIER2]]="EXT"),"",IF(Database[[#This Row],[SECTION NAME]]="","",Database[[#This Row],[SECTION NAME]]))</f>
        <v/>
      </c>
    </row>
    <row r="71" spans="2:37" ht="29" x14ac:dyDescent="0.35">
      <c r="B71" s="50" t="s">
        <v>36</v>
      </c>
      <c r="C71" s="50">
        <v>9</v>
      </c>
      <c r="D71" s="50" t="s">
        <v>67</v>
      </c>
      <c r="E71" s="50">
        <v>95426</v>
      </c>
      <c r="F71" s="53" t="s">
        <v>572</v>
      </c>
      <c r="G71" s="72" t="s">
        <v>377</v>
      </c>
      <c r="H71" s="53" t="s">
        <v>380</v>
      </c>
      <c r="I71" s="64"/>
      <c r="J71" s="52"/>
      <c r="K71" s="52" t="s">
        <v>38</v>
      </c>
      <c r="L71" s="52"/>
      <c r="M71" s="52"/>
      <c r="N71" s="54"/>
      <c r="O71" s="66"/>
      <c r="P71" s="51"/>
      <c r="Q71" s="51"/>
      <c r="R71" s="51"/>
      <c r="S71" s="51"/>
      <c r="T71" s="55"/>
      <c r="U71" s="69"/>
      <c r="V71" s="50"/>
      <c r="W71" s="50"/>
      <c r="X71" s="50"/>
      <c r="Y71" s="50"/>
      <c r="Z71" s="50"/>
      <c r="AA71" s="50"/>
      <c r="AB71" s="50"/>
      <c r="AC71" s="50">
        <f>IF(COUNTIF($C$3:C71,C71)=1,1,IF(COUNTIF($E$3:E71,E71)=1,2,0))</f>
        <v>2</v>
      </c>
      <c r="AD71" s="50" t="str">
        <f>IF(ISNUMBER(SEARCH("-",Database[[#This Row],[KEYNOTE '#]])),LEFT(Database[[#This Row],[KEYNOTE '#]],FIND("-",Database[[#This Row],[KEYNOTE '#]])-1),Database[[#This Row],[KEYNOTE '#]])</f>
        <v>WCP</v>
      </c>
      <c r="AE7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1" s="50" t="str">
        <f>IF(AND(ISNUMBER(SEARCH("-",Database[[#This Row],[KEYNOTE '#]]))=TRUE,ISNUMBER(--RIGHT(Database[[#This Row],[KEYNOTE '#]]))=FALSE),RIGHT(Database[[#This Row],[KEYNOTE '#]],1),"")</f>
        <v/>
      </c>
      <c r="AG71" s="50">
        <v>69</v>
      </c>
      <c r="AH71" s="50" t="str">
        <f>IF(COUNTIF(Database[[#This Row],[BASE]:[INT. OTHER]],"g"),"INTERIOR",IF(COUNTIF(Database[[#This Row],[ROOF]:[EXT. OTHER]],"n"),"EXTERIOR",Database[[#This Row],[DIVISION '#]]))</f>
        <v>INTERIOR</v>
      </c>
      <c r="AI71" s="50" t="str">
        <f>IF(OR(Database[[#This Row],[KEYTIER1]]="INTERIOR",Database[[#This Row],[KEYTIER1]]="EXTERIOR"),"",Database[[#This Row],[DIVISION NAME]])</f>
        <v/>
      </c>
      <c r="AJ71" s="50" t="str">
        <f>IF(Database[[#This Row],[KEYTIER1]]="INTERIOR","INT",IF(Database[[#This Row],[KEYTIER1]]="EXTERIOR","EXT",Database[[#This Row],[SECTION '#]]))</f>
        <v>INT</v>
      </c>
      <c r="AK71" s="50" t="str">
        <f>IF(OR(Database[[#This Row],[KEYTIER2]]="INT",Database[[#This Row],[KEYTIER2]]="EXT"),"",IF(Database[[#This Row],[SECTION NAME]]="","",Database[[#This Row],[SECTION NAME]]))</f>
        <v/>
      </c>
    </row>
    <row r="72" spans="2:37" ht="29" x14ac:dyDescent="0.35">
      <c r="B72" s="50" t="s">
        <v>36</v>
      </c>
      <c r="C72" s="50">
        <v>9</v>
      </c>
      <c r="D72" s="50" t="s">
        <v>67</v>
      </c>
      <c r="E72" s="50">
        <v>95426</v>
      </c>
      <c r="F72" s="53" t="s">
        <v>572</v>
      </c>
      <c r="G72" s="72" t="s">
        <v>536</v>
      </c>
      <c r="H72" s="53" t="s">
        <v>380</v>
      </c>
      <c r="I72" s="64"/>
      <c r="J72" s="52"/>
      <c r="K72" s="52" t="s">
        <v>38</v>
      </c>
      <c r="L72" s="52"/>
      <c r="M72" s="52"/>
      <c r="N72" s="54"/>
      <c r="O72" s="66"/>
      <c r="P72" s="51"/>
      <c r="Q72" s="51"/>
      <c r="R72" s="51"/>
      <c r="S72" s="51"/>
      <c r="T72" s="55"/>
      <c r="U72" s="69"/>
      <c r="V72" s="50"/>
      <c r="W72" s="50"/>
      <c r="X72" s="50"/>
      <c r="Y72" s="50"/>
      <c r="Z72" s="50"/>
      <c r="AA72" s="50"/>
      <c r="AB72" s="50"/>
      <c r="AC72" s="50">
        <f>IF(COUNTIF($C$3:C72,C72)=1,1,IF(COUNTIF($E$3:E72,E72)=1,2,0))</f>
        <v>0</v>
      </c>
      <c r="AD72" s="50" t="str">
        <f>IF(ISNUMBER(SEARCH("-",Database[[#This Row],[KEYNOTE '#]])),LEFT(Database[[#This Row],[KEYNOTE '#]],FIND("-",Database[[#This Row],[KEYNOTE '#]])-1),Database[[#This Row],[KEYNOTE '#]])</f>
        <v>WCP</v>
      </c>
      <c r="AE7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2" s="50" t="str">
        <f>IF(AND(ISNUMBER(SEARCH("-",Database[[#This Row],[KEYNOTE '#]]))=TRUE,ISNUMBER(--RIGHT(Database[[#This Row],[KEYNOTE '#]]))=FALSE),RIGHT(Database[[#This Row],[KEYNOTE '#]],1),"")</f>
        <v>A</v>
      </c>
      <c r="AG72" s="50">
        <v>70</v>
      </c>
      <c r="AH72" s="50" t="str">
        <f>IF(COUNTIF(Database[[#This Row],[BASE]:[INT. OTHER]],"g"),"INTERIOR",IF(COUNTIF(Database[[#This Row],[ROOF]:[EXT. OTHER]],"n"),"EXTERIOR",Database[[#This Row],[DIVISION '#]]))</f>
        <v>INTERIOR</v>
      </c>
      <c r="AI72" s="50" t="str">
        <f>IF(OR(Database[[#This Row],[KEYTIER1]]="INTERIOR",Database[[#This Row],[KEYTIER1]]="EXTERIOR"),"",Database[[#This Row],[DIVISION NAME]])</f>
        <v/>
      </c>
      <c r="AJ72" s="50" t="str">
        <f>IF(Database[[#This Row],[KEYTIER1]]="INTERIOR","INT",IF(Database[[#This Row],[KEYTIER1]]="EXTERIOR","EXT",Database[[#This Row],[SECTION '#]]))</f>
        <v>INT</v>
      </c>
      <c r="AK72" s="50" t="str">
        <f>IF(OR(Database[[#This Row],[KEYTIER2]]="INT",Database[[#This Row],[KEYTIER2]]="EXT"),"",IF(Database[[#This Row],[SECTION NAME]]="","",Database[[#This Row],[SECTION NAME]]))</f>
        <v/>
      </c>
    </row>
    <row r="73" spans="2:37" ht="29" x14ac:dyDescent="0.35">
      <c r="B73" s="50" t="s">
        <v>36</v>
      </c>
      <c r="C73" s="50">
        <v>9</v>
      </c>
      <c r="D73" s="50" t="s">
        <v>67</v>
      </c>
      <c r="E73" s="50">
        <v>95426</v>
      </c>
      <c r="F73" s="53" t="s">
        <v>572</v>
      </c>
      <c r="G73" s="72" t="s">
        <v>537</v>
      </c>
      <c r="H73" s="53" t="s">
        <v>380</v>
      </c>
      <c r="I73" s="64"/>
      <c r="J73" s="52"/>
      <c r="K73" s="52" t="s">
        <v>38</v>
      </c>
      <c r="L73" s="52"/>
      <c r="M73" s="52"/>
      <c r="N73" s="54"/>
      <c r="O73" s="66"/>
      <c r="P73" s="51"/>
      <c r="Q73" s="51"/>
      <c r="R73" s="51"/>
      <c r="S73" s="51"/>
      <c r="T73" s="55"/>
      <c r="U73" s="69"/>
      <c r="V73" s="50"/>
      <c r="W73" s="50"/>
      <c r="X73" s="50"/>
      <c r="Y73" s="50"/>
      <c r="Z73" s="50"/>
      <c r="AA73" s="50"/>
      <c r="AB73" s="50"/>
      <c r="AC73" s="50">
        <f>IF(COUNTIF($C$3:C73,C73)=1,1,IF(COUNTIF($E$3:E73,E73)=1,2,0))</f>
        <v>0</v>
      </c>
      <c r="AD73" s="50" t="str">
        <f>IF(ISNUMBER(SEARCH("-",Database[[#This Row],[KEYNOTE '#]])),LEFT(Database[[#This Row],[KEYNOTE '#]],FIND("-",Database[[#This Row],[KEYNOTE '#]])-1),Database[[#This Row],[KEYNOTE '#]])</f>
        <v>WCP</v>
      </c>
      <c r="AE7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3" s="50" t="str">
        <f>IF(AND(ISNUMBER(SEARCH("-",Database[[#This Row],[KEYNOTE '#]]))=TRUE,ISNUMBER(--RIGHT(Database[[#This Row],[KEYNOTE '#]]))=FALSE),RIGHT(Database[[#This Row],[KEYNOTE '#]],1),"")</f>
        <v>B</v>
      </c>
      <c r="AG73" s="50">
        <v>71</v>
      </c>
      <c r="AH73" s="50" t="str">
        <f>IF(COUNTIF(Database[[#This Row],[BASE]:[INT. OTHER]],"g"),"INTERIOR",IF(COUNTIF(Database[[#This Row],[ROOF]:[EXT. OTHER]],"n"),"EXTERIOR",Database[[#This Row],[DIVISION '#]]))</f>
        <v>INTERIOR</v>
      </c>
      <c r="AI73" s="50" t="str">
        <f>IF(OR(Database[[#This Row],[KEYTIER1]]="INTERIOR",Database[[#This Row],[KEYTIER1]]="EXTERIOR"),"",Database[[#This Row],[DIVISION NAME]])</f>
        <v/>
      </c>
      <c r="AJ73" s="50" t="str">
        <f>IF(Database[[#This Row],[KEYTIER1]]="INTERIOR","INT",IF(Database[[#This Row],[KEYTIER1]]="EXTERIOR","EXT",Database[[#This Row],[SECTION '#]]))</f>
        <v>INT</v>
      </c>
      <c r="AK73" s="50" t="str">
        <f>IF(OR(Database[[#This Row],[KEYTIER2]]="INT",Database[[#This Row],[KEYTIER2]]="EXT"),"",IF(Database[[#This Row],[SECTION NAME]]="","",Database[[#This Row],[SECTION NAME]]))</f>
        <v/>
      </c>
    </row>
    <row r="74" spans="2:37" ht="29" x14ac:dyDescent="0.35">
      <c r="B74" s="50" t="s">
        <v>36</v>
      </c>
      <c r="C74" s="50">
        <v>9</v>
      </c>
      <c r="D74" s="50" t="s">
        <v>67</v>
      </c>
      <c r="E74" s="50">
        <v>95426</v>
      </c>
      <c r="F74" s="53" t="s">
        <v>572</v>
      </c>
      <c r="G74" s="72" t="s">
        <v>379</v>
      </c>
      <c r="H74" s="53" t="s">
        <v>378</v>
      </c>
      <c r="I74" s="64"/>
      <c r="J74" s="52"/>
      <c r="K74" s="52" t="s">
        <v>38</v>
      </c>
      <c r="L74" s="52"/>
      <c r="M74" s="52"/>
      <c r="N74" s="54"/>
      <c r="O74" s="66"/>
      <c r="P74" s="51"/>
      <c r="Q74" s="51"/>
      <c r="R74" s="51"/>
      <c r="S74" s="51"/>
      <c r="T74" s="55"/>
      <c r="U74" s="69"/>
      <c r="V74" s="50"/>
      <c r="W74" s="50"/>
      <c r="X74" s="50"/>
      <c r="Y74" s="50"/>
      <c r="Z74" s="50"/>
      <c r="AA74" s="50"/>
      <c r="AB74" s="50"/>
      <c r="AC74" s="50">
        <f>IF(COUNTIF($C$3:C74,C74)=1,1,IF(COUNTIF($E$3:E74,E74)=1,2,0))</f>
        <v>0</v>
      </c>
      <c r="AD74" s="50" t="str">
        <f>IF(ISNUMBER(SEARCH("-",Database[[#This Row],[KEYNOTE '#]])),LEFT(Database[[#This Row],[KEYNOTE '#]],FIND("-",Database[[#This Row],[KEYNOTE '#]])-1),Database[[#This Row],[KEYNOTE '#]])</f>
        <v>WCP</v>
      </c>
      <c r="AE7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4" s="50" t="str">
        <f>IF(AND(ISNUMBER(SEARCH("-",Database[[#This Row],[KEYNOTE '#]]))=TRUE,ISNUMBER(--RIGHT(Database[[#This Row],[KEYNOTE '#]]))=FALSE),RIGHT(Database[[#This Row],[KEYNOTE '#]],1),"")</f>
        <v/>
      </c>
      <c r="AG74" s="50">
        <v>72</v>
      </c>
      <c r="AH74" s="50" t="str">
        <f>IF(COUNTIF(Database[[#This Row],[BASE]:[INT. OTHER]],"g"),"INTERIOR",IF(COUNTIF(Database[[#This Row],[ROOF]:[EXT. OTHER]],"n"),"EXTERIOR",Database[[#This Row],[DIVISION '#]]))</f>
        <v>INTERIOR</v>
      </c>
      <c r="AI74" s="50" t="str">
        <f>IF(OR(Database[[#This Row],[KEYTIER1]]="INTERIOR",Database[[#This Row],[KEYTIER1]]="EXTERIOR"),"",Database[[#This Row],[DIVISION NAME]])</f>
        <v/>
      </c>
      <c r="AJ74" s="50" t="str">
        <f>IF(Database[[#This Row],[KEYTIER1]]="INTERIOR","INT",IF(Database[[#This Row],[KEYTIER1]]="EXTERIOR","EXT",Database[[#This Row],[SECTION '#]]))</f>
        <v>INT</v>
      </c>
      <c r="AK74" s="50" t="str">
        <f>IF(OR(Database[[#This Row],[KEYTIER2]]="INT",Database[[#This Row],[KEYTIER2]]="EXT"),"",IF(Database[[#This Row],[SECTION NAME]]="","",Database[[#This Row],[SECTION NAME]]))</f>
        <v/>
      </c>
    </row>
    <row r="75" spans="2:37" ht="29" x14ac:dyDescent="0.35">
      <c r="B75" s="50" t="s">
        <v>36</v>
      </c>
      <c r="C75" s="50">
        <v>9</v>
      </c>
      <c r="D75" s="50" t="s">
        <v>67</v>
      </c>
      <c r="E75" s="50">
        <v>95426</v>
      </c>
      <c r="F75" s="53" t="s">
        <v>572</v>
      </c>
      <c r="G75" s="72" t="s">
        <v>538</v>
      </c>
      <c r="H75" s="53" t="s">
        <v>378</v>
      </c>
      <c r="I75" s="64"/>
      <c r="J75" s="52"/>
      <c r="K75" s="52" t="s">
        <v>38</v>
      </c>
      <c r="L75" s="52"/>
      <c r="M75" s="52"/>
      <c r="N75" s="54"/>
      <c r="O75" s="66"/>
      <c r="P75" s="51"/>
      <c r="Q75" s="51"/>
      <c r="R75" s="51"/>
      <c r="S75" s="51"/>
      <c r="T75" s="55"/>
      <c r="U75" s="69"/>
      <c r="V75" s="50"/>
      <c r="W75" s="50"/>
      <c r="X75" s="50"/>
      <c r="Y75" s="50"/>
      <c r="Z75" s="50"/>
      <c r="AA75" s="50"/>
      <c r="AB75" s="50"/>
      <c r="AC75" s="50">
        <f>IF(COUNTIF($C$3:C75,C75)=1,1,IF(COUNTIF($E$3:E75,E75)=1,2,0))</f>
        <v>0</v>
      </c>
      <c r="AD75" s="50" t="str">
        <f>IF(ISNUMBER(SEARCH("-",Database[[#This Row],[KEYNOTE '#]])),LEFT(Database[[#This Row],[KEYNOTE '#]],FIND("-",Database[[#This Row],[KEYNOTE '#]])-1),Database[[#This Row],[KEYNOTE '#]])</f>
        <v>WCP</v>
      </c>
      <c r="AE7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5" s="50" t="str">
        <f>IF(AND(ISNUMBER(SEARCH("-",Database[[#This Row],[KEYNOTE '#]]))=TRUE,ISNUMBER(--RIGHT(Database[[#This Row],[KEYNOTE '#]]))=FALSE),RIGHT(Database[[#This Row],[KEYNOTE '#]],1),"")</f>
        <v>A</v>
      </c>
      <c r="AG75" s="50">
        <v>73</v>
      </c>
      <c r="AH75" s="50" t="str">
        <f>IF(COUNTIF(Database[[#This Row],[BASE]:[INT. OTHER]],"g"),"INTERIOR",IF(COUNTIF(Database[[#This Row],[ROOF]:[EXT. OTHER]],"n"),"EXTERIOR",Database[[#This Row],[DIVISION '#]]))</f>
        <v>INTERIOR</v>
      </c>
      <c r="AI75" s="50" t="str">
        <f>IF(OR(Database[[#This Row],[KEYTIER1]]="INTERIOR",Database[[#This Row],[KEYTIER1]]="EXTERIOR"),"",Database[[#This Row],[DIVISION NAME]])</f>
        <v/>
      </c>
      <c r="AJ75" s="50" t="str">
        <f>IF(Database[[#This Row],[KEYTIER1]]="INTERIOR","INT",IF(Database[[#This Row],[KEYTIER1]]="EXTERIOR","EXT",Database[[#This Row],[SECTION '#]]))</f>
        <v>INT</v>
      </c>
      <c r="AK75" s="50" t="str">
        <f>IF(OR(Database[[#This Row],[KEYTIER2]]="INT",Database[[#This Row],[KEYTIER2]]="EXT"),"",IF(Database[[#This Row],[SECTION NAME]]="","",Database[[#This Row],[SECTION NAME]]))</f>
        <v/>
      </c>
    </row>
    <row r="76" spans="2:37" ht="29" x14ac:dyDescent="0.35">
      <c r="B76" s="50" t="s">
        <v>36</v>
      </c>
      <c r="C76" s="50">
        <v>9</v>
      </c>
      <c r="D76" s="50" t="s">
        <v>67</v>
      </c>
      <c r="E76" s="50">
        <v>95426</v>
      </c>
      <c r="F76" s="53" t="s">
        <v>572</v>
      </c>
      <c r="G76" s="72" t="s">
        <v>539</v>
      </c>
      <c r="H76" s="53" t="s">
        <v>378</v>
      </c>
      <c r="I76" s="64"/>
      <c r="J76" s="52"/>
      <c r="K76" s="52" t="s">
        <v>38</v>
      </c>
      <c r="L76" s="52"/>
      <c r="M76" s="52"/>
      <c r="N76" s="54"/>
      <c r="O76" s="66"/>
      <c r="P76" s="51"/>
      <c r="Q76" s="51"/>
      <c r="R76" s="51"/>
      <c r="S76" s="51"/>
      <c r="T76" s="55"/>
      <c r="U76" s="69"/>
      <c r="V76" s="50"/>
      <c r="W76" s="50"/>
      <c r="X76" s="50"/>
      <c r="Y76" s="50"/>
      <c r="Z76" s="50"/>
      <c r="AA76" s="50"/>
      <c r="AB76" s="50"/>
      <c r="AC76" s="50">
        <f>IF(COUNTIF($C$3:C76,C76)=1,1,IF(COUNTIF($E$3:E76,E76)=1,2,0))</f>
        <v>0</v>
      </c>
      <c r="AD76" s="50" t="str">
        <f>IF(ISNUMBER(SEARCH("-",Database[[#This Row],[KEYNOTE '#]])),LEFT(Database[[#This Row],[KEYNOTE '#]],FIND("-",Database[[#This Row],[KEYNOTE '#]])-1),Database[[#This Row],[KEYNOTE '#]])</f>
        <v>WCP</v>
      </c>
      <c r="AE7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6" s="50" t="str">
        <f>IF(AND(ISNUMBER(SEARCH("-",Database[[#This Row],[KEYNOTE '#]]))=TRUE,ISNUMBER(--RIGHT(Database[[#This Row],[KEYNOTE '#]]))=FALSE),RIGHT(Database[[#This Row],[KEYNOTE '#]],1),"")</f>
        <v>B</v>
      </c>
      <c r="AG76" s="50">
        <v>74</v>
      </c>
      <c r="AH76" s="50" t="str">
        <f>IF(COUNTIF(Database[[#This Row],[BASE]:[INT. OTHER]],"g"),"INTERIOR",IF(COUNTIF(Database[[#This Row],[ROOF]:[EXT. OTHER]],"n"),"EXTERIOR",Database[[#This Row],[DIVISION '#]]))</f>
        <v>INTERIOR</v>
      </c>
      <c r="AI76" s="50" t="str">
        <f>IF(OR(Database[[#This Row],[KEYTIER1]]="INTERIOR",Database[[#This Row],[KEYTIER1]]="EXTERIOR"),"",Database[[#This Row],[DIVISION NAME]])</f>
        <v/>
      </c>
      <c r="AJ76" s="50" t="str">
        <f>IF(Database[[#This Row],[KEYTIER1]]="INTERIOR","INT",IF(Database[[#This Row],[KEYTIER1]]="EXTERIOR","EXT",Database[[#This Row],[SECTION '#]]))</f>
        <v>INT</v>
      </c>
      <c r="AK76" s="50" t="str">
        <f>IF(OR(Database[[#This Row],[KEYTIER2]]="INT",Database[[#This Row],[KEYTIER2]]="EXT"),"",IF(Database[[#This Row],[SECTION NAME]]="","",Database[[#This Row],[SECTION NAME]]))</f>
        <v/>
      </c>
    </row>
    <row r="77" spans="2:37" ht="29" x14ac:dyDescent="0.35">
      <c r="B77" s="50" t="s">
        <v>36</v>
      </c>
      <c r="C77" s="50">
        <v>9</v>
      </c>
      <c r="D77" s="50" t="s">
        <v>67</v>
      </c>
      <c r="E77" s="50">
        <v>95436</v>
      </c>
      <c r="F77" s="53" t="s">
        <v>575</v>
      </c>
      <c r="G77" s="72" t="s">
        <v>566</v>
      </c>
      <c r="H77" s="53" t="s">
        <v>549</v>
      </c>
      <c r="I77" s="64"/>
      <c r="J77" s="52"/>
      <c r="K77" s="52" t="s">
        <v>38</v>
      </c>
      <c r="L77" s="52"/>
      <c r="M77" s="52"/>
      <c r="N77" s="54"/>
      <c r="O77" s="66"/>
      <c r="P77" s="51"/>
      <c r="Q77" s="51"/>
      <c r="R77" s="51"/>
      <c r="S77" s="51"/>
      <c r="T77" s="55"/>
      <c r="U77" s="69"/>
      <c r="V77" s="50"/>
      <c r="W77" s="50"/>
      <c r="X77" s="50"/>
      <c r="Y77" s="50"/>
      <c r="Z77" s="50"/>
      <c r="AA77" s="50"/>
      <c r="AB77" s="50"/>
      <c r="AC77" s="50">
        <f>IF(COUNTIF($C$3:C77,C77)=1,1,IF(COUNTIF($E$3:E77,E77)=1,2,0))</f>
        <v>2</v>
      </c>
      <c r="AD77" s="50" t="str">
        <f>IF(ISNUMBER(SEARCH("-",Database[[#This Row],[KEYNOTE '#]])),LEFT(Database[[#This Row],[KEYNOTE '#]],FIND("-",Database[[#This Row],[KEYNOTE '#]])-1),Database[[#This Row],[KEYNOTE '#]])</f>
        <v>MCP</v>
      </c>
      <c r="AE7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77" s="50" t="str">
        <f>IF(AND(ISNUMBER(SEARCH("-",Database[[#This Row],[KEYNOTE '#]]))=TRUE,ISNUMBER(--RIGHT(Database[[#This Row],[KEYNOTE '#]]))=FALSE),RIGHT(Database[[#This Row],[KEYNOTE '#]],1),"")</f>
        <v>A</v>
      </c>
      <c r="AG77" s="50">
        <v>75</v>
      </c>
      <c r="AH77" s="50" t="str">
        <f>IF(COUNTIF(Database[[#This Row],[BASE]:[INT. OTHER]],"g"),"INTERIOR",IF(COUNTIF(Database[[#This Row],[ROOF]:[EXT. OTHER]],"n"),"EXTERIOR",Database[[#This Row],[DIVISION '#]]))</f>
        <v>INTERIOR</v>
      </c>
      <c r="AI77" s="50" t="str">
        <f>IF(OR(Database[[#This Row],[KEYTIER1]]="INTERIOR",Database[[#This Row],[KEYTIER1]]="EXTERIOR"),"",Database[[#This Row],[DIVISION NAME]])</f>
        <v/>
      </c>
      <c r="AJ77" s="50" t="str">
        <f>IF(Database[[#This Row],[KEYTIER1]]="INTERIOR","INT",IF(Database[[#This Row],[KEYTIER1]]="EXTERIOR","EXT",Database[[#This Row],[SECTION '#]]))</f>
        <v>INT</v>
      </c>
      <c r="AK77" s="50" t="str">
        <f>IF(OR(Database[[#This Row],[KEYTIER2]]="INT",Database[[#This Row],[KEYTIER2]]="EXT"),"",IF(Database[[#This Row],[SECTION NAME]]="","",Database[[#This Row],[SECTION NAME]]))</f>
        <v/>
      </c>
    </row>
    <row r="78" spans="2:37" ht="29" x14ac:dyDescent="0.35">
      <c r="B78" s="50" t="s">
        <v>36</v>
      </c>
      <c r="C78" s="50">
        <v>9</v>
      </c>
      <c r="D78" s="50" t="s">
        <v>67</v>
      </c>
      <c r="E78" s="50">
        <v>95436</v>
      </c>
      <c r="F78" s="53" t="s">
        <v>575</v>
      </c>
      <c r="G78" s="72" t="s">
        <v>548</v>
      </c>
      <c r="H78" s="53" t="s">
        <v>549</v>
      </c>
      <c r="I78" s="64"/>
      <c r="J78" s="52"/>
      <c r="K78" s="52" t="s">
        <v>38</v>
      </c>
      <c r="L78" s="52"/>
      <c r="M78" s="52"/>
      <c r="N78" s="54"/>
      <c r="O78" s="66"/>
      <c r="P78" s="51"/>
      <c r="Q78" s="51"/>
      <c r="R78" s="51"/>
      <c r="S78" s="51"/>
      <c r="T78" s="55"/>
      <c r="U78" s="69"/>
      <c r="V78" s="50"/>
      <c r="W78" s="50"/>
      <c r="X78" s="50"/>
      <c r="Y78" s="50"/>
      <c r="Z78" s="50"/>
      <c r="AA78" s="50"/>
      <c r="AB78" s="50"/>
      <c r="AC78" s="50">
        <f>IF(COUNTIF($C$3:C78,C78)=1,1,IF(COUNTIF($E$3:E78,E78)=1,2,0))</f>
        <v>0</v>
      </c>
      <c r="AD78" s="50" t="str">
        <f>IF(ISNUMBER(SEARCH("-",Database[[#This Row],[KEYNOTE '#]])),LEFT(Database[[#This Row],[KEYNOTE '#]],FIND("-",Database[[#This Row],[KEYNOTE '#]])-1),Database[[#This Row],[KEYNOTE '#]])</f>
        <v>MCP</v>
      </c>
      <c r="AE7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78" s="50" t="str">
        <f>IF(AND(ISNUMBER(SEARCH("-",Database[[#This Row],[KEYNOTE '#]]))=TRUE,ISNUMBER(--RIGHT(Database[[#This Row],[KEYNOTE '#]]))=FALSE),RIGHT(Database[[#This Row],[KEYNOTE '#]],1),"")</f>
        <v>B</v>
      </c>
      <c r="AG78" s="50">
        <v>76</v>
      </c>
      <c r="AH78" s="50" t="str">
        <f>IF(COUNTIF(Database[[#This Row],[BASE]:[INT. OTHER]],"g"),"INTERIOR",IF(COUNTIF(Database[[#This Row],[ROOF]:[EXT. OTHER]],"n"),"EXTERIOR",Database[[#This Row],[DIVISION '#]]))</f>
        <v>INTERIOR</v>
      </c>
      <c r="AI78" s="50" t="str">
        <f>IF(OR(Database[[#This Row],[KEYTIER1]]="INTERIOR",Database[[#This Row],[KEYTIER1]]="EXTERIOR"),"",Database[[#This Row],[DIVISION NAME]])</f>
        <v/>
      </c>
      <c r="AJ78" s="50" t="str">
        <f>IF(Database[[#This Row],[KEYTIER1]]="INTERIOR","INT",IF(Database[[#This Row],[KEYTIER1]]="EXTERIOR","EXT",Database[[#This Row],[SECTION '#]]))</f>
        <v>INT</v>
      </c>
      <c r="AK78" s="50" t="str">
        <f>IF(OR(Database[[#This Row],[KEYTIER2]]="INT",Database[[#This Row],[KEYTIER2]]="EXT"),"",IF(Database[[#This Row],[SECTION NAME]]="","",Database[[#This Row],[SECTION NAME]]))</f>
        <v/>
      </c>
    </row>
    <row r="79" spans="2:37" ht="29" x14ac:dyDescent="0.35">
      <c r="B79" s="50" t="s">
        <v>36</v>
      </c>
      <c r="C79" s="50">
        <v>9</v>
      </c>
      <c r="D79" s="50" t="s">
        <v>67</v>
      </c>
      <c r="E79" s="50">
        <v>95446</v>
      </c>
      <c r="F79" s="53" t="s">
        <v>563</v>
      </c>
      <c r="G79" s="72" t="s">
        <v>544</v>
      </c>
      <c r="H79" s="53" t="s">
        <v>545</v>
      </c>
      <c r="I79" s="64"/>
      <c r="J79" s="52"/>
      <c r="K79" s="52" t="s">
        <v>38</v>
      </c>
      <c r="L79" s="52"/>
      <c r="M79" s="52"/>
      <c r="N79" s="54"/>
      <c r="O79" s="66"/>
      <c r="P79" s="51"/>
      <c r="Q79" s="51"/>
      <c r="R79" s="51"/>
      <c r="S79" s="51"/>
      <c r="T79" s="55"/>
      <c r="U79" s="69"/>
      <c r="V79" s="50"/>
      <c r="W79" s="50"/>
      <c r="X79" s="50"/>
      <c r="Y79" s="50"/>
      <c r="Z79" s="50"/>
      <c r="AA79" s="50"/>
      <c r="AB79" s="50"/>
      <c r="AC79" s="50">
        <f>IF(COUNTIF($C$3:C79,C79)=1,1,IF(COUNTIF($E$3:E79,E79)=1,2,0))</f>
        <v>2</v>
      </c>
      <c r="AD79" s="50" t="str">
        <f>IF(ISNUMBER(SEARCH("-",Database[[#This Row],[KEYNOTE '#]])),LEFT(Database[[#This Row],[KEYNOTE '#]],FIND("-",Database[[#This Row],[KEYNOTE '#]])-1),Database[[#This Row],[KEYNOTE '#]])</f>
        <v>FCP</v>
      </c>
      <c r="AE7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9" s="50" t="str">
        <f>IF(AND(ISNUMBER(SEARCH("-",Database[[#This Row],[KEYNOTE '#]]))=TRUE,ISNUMBER(--RIGHT(Database[[#This Row],[KEYNOTE '#]]))=FALSE),RIGHT(Database[[#This Row],[KEYNOTE '#]],1),"")</f>
        <v/>
      </c>
      <c r="AG79" s="50">
        <v>77</v>
      </c>
      <c r="AH79" s="50" t="str">
        <f>IF(COUNTIF(Database[[#This Row],[BASE]:[INT. OTHER]],"g"),"INTERIOR",IF(COUNTIF(Database[[#This Row],[ROOF]:[EXT. OTHER]],"n"),"EXTERIOR",Database[[#This Row],[DIVISION '#]]))</f>
        <v>INTERIOR</v>
      </c>
      <c r="AI79" s="50" t="str">
        <f>IF(OR(Database[[#This Row],[KEYTIER1]]="INTERIOR",Database[[#This Row],[KEYTIER1]]="EXTERIOR"),"",Database[[#This Row],[DIVISION NAME]])</f>
        <v/>
      </c>
      <c r="AJ79" s="50" t="str">
        <f>IF(Database[[#This Row],[KEYTIER1]]="INTERIOR","INT",IF(Database[[#This Row],[KEYTIER1]]="EXTERIOR","EXT",Database[[#This Row],[SECTION '#]]))</f>
        <v>INT</v>
      </c>
      <c r="AK79" s="50" t="str">
        <f>IF(OR(Database[[#This Row],[KEYTIER2]]="INT",Database[[#This Row],[KEYTIER2]]="EXT"),"",IF(Database[[#This Row],[SECTION NAME]]="","",Database[[#This Row],[SECTION NAME]]))</f>
        <v/>
      </c>
    </row>
    <row r="80" spans="2:37" ht="29" x14ac:dyDescent="0.35">
      <c r="B80" s="50" t="s">
        <v>36</v>
      </c>
      <c r="C80" s="50">
        <v>9</v>
      </c>
      <c r="D80" s="50" t="s">
        <v>67</v>
      </c>
      <c r="E80" s="50">
        <v>96340</v>
      </c>
      <c r="F80" s="53" t="s">
        <v>385</v>
      </c>
      <c r="G80" s="72" t="s">
        <v>386</v>
      </c>
      <c r="H80" s="53" t="s">
        <v>387</v>
      </c>
      <c r="I80" s="64"/>
      <c r="J80" s="52"/>
      <c r="K80" s="52"/>
      <c r="L80" s="52" t="s">
        <v>38</v>
      </c>
      <c r="M80" s="52"/>
      <c r="N80" s="54"/>
      <c r="O80" s="66"/>
      <c r="P80" s="51"/>
      <c r="Q80" s="51"/>
      <c r="R80" s="51"/>
      <c r="S80" s="51"/>
      <c r="T80" s="55"/>
      <c r="U80" s="69"/>
      <c r="V80" s="50"/>
      <c r="W80" s="50"/>
      <c r="X80" s="50"/>
      <c r="Y80" s="50"/>
      <c r="Z80" s="50"/>
      <c r="AA80" s="50"/>
      <c r="AB80" s="50"/>
      <c r="AC80" s="50">
        <f>IF(COUNTIF($C$3:C80,C80)=1,1,IF(COUNTIF($E$3:E80,E80)=1,2,0))</f>
        <v>2</v>
      </c>
      <c r="AD80" s="50" t="str">
        <f>IF(ISNUMBER(SEARCH("-",Database[[#This Row],[KEYNOTE '#]])),LEFT(Database[[#This Row],[KEYNOTE '#]],FIND("-",Database[[#This Row],[KEYNOTE '#]])-1),Database[[#This Row],[KEYNOTE '#]])</f>
        <v>STF</v>
      </c>
      <c r="AE8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0" s="50" t="str">
        <f>IF(AND(ISNUMBER(SEARCH("-",Database[[#This Row],[KEYNOTE '#]]))=TRUE,ISNUMBER(--RIGHT(Database[[#This Row],[KEYNOTE '#]]))=FALSE),RIGHT(Database[[#This Row],[KEYNOTE '#]],1),"")</f>
        <v/>
      </c>
      <c r="AG80" s="50">
        <v>78</v>
      </c>
      <c r="AH80" s="50" t="str">
        <f>IF(COUNTIF(Database[[#This Row],[BASE]:[INT. OTHER]],"g"),"INTERIOR",IF(COUNTIF(Database[[#This Row],[ROOF]:[EXT. OTHER]],"n"),"EXTERIOR",Database[[#This Row],[DIVISION '#]]))</f>
        <v>INTERIOR</v>
      </c>
      <c r="AI80" s="50" t="str">
        <f>IF(OR(Database[[#This Row],[KEYTIER1]]="INTERIOR",Database[[#This Row],[KEYTIER1]]="EXTERIOR"),"",Database[[#This Row],[DIVISION NAME]])</f>
        <v/>
      </c>
      <c r="AJ80" s="50" t="str">
        <f>IF(Database[[#This Row],[KEYTIER1]]="INTERIOR","INT",IF(Database[[#This Row],[KEYTIER1]]="EXTERIOR","EXT",Database[[#This Row],[SECTION '#]]))</f>
        <v>INT</v>
      </c>
      <c r="AK80" s="50" t="str">
        <f>IF(OR(Database[[#This Row],[KEYTIER2]]="INT",Database[[#This Row],[KEYTIER2]]="EXT"),"",IF(Database[[#This Row],[SECTION NAME]]="","",Database[[#This Row],[SECTION NAME]]))</f>
        <v/>
      </c>
    </row>
    <row r="81" spans="2:37" ht="29" x14ac:dyDescent="0.35">
      <c r="B81" s="50" t="s">
        <v>36</v>
      </c>
      <c r="C81" s="50">
        <v>9</v>
      </c>
      <c r="D81" s="50" t="s">
        <v>67</v>
      </c>
      <c r="E81" s="50">
        <v>96340</v>
      </c>
      <c r="F81" s="53" t="s">
        <v>385</v>
      </c>
      <c r="G81" s="72" t="s">
        <v>388</v>
      </c>
      <c r="H81" s="53" t="s">
        <v>389</v>
      </c>
      <c r="I81" s="64"/>
      <c r="J81" s="52"/>
      <c r="K81" s="52"/>
      <c r="L81" s="52"/>
      <c r="M81" s="52"/>
      <c r="N81" s="54" t="s">
        <v>38</v>
      </c>
      <c r="O81" s="66"/>
      <c r="P81" s="51"/>
      <c r="Q81" s="51"/>
      <c r="R81" s="51"/>
      <c r="S81" s="51"/>
      <c r="T81" s="55"/>
      <c r="U81" s="69"/>
      <c r="V81" s="50"/>
      <c r="W81" s="50"/>
      <c r="X81" s="50"/>
      <c r="Y81" s="50"/>
      <c r="Z81" s="50"/>
      <c r="AA81" s="50"/>
      <c r="AB81" s="50"/>
      <c r="AC81" s="50">
        <f>IF(COUNTIF($C$3:C81,C81)=1,1,IF(COUNTIF($E$3:E81,E81)=1,2,0))</f>
        <v>0</v>
      </c>
      <c r="AD81" s="50" t="str">
        <f>IF(ISNUMBER(SEARCH("-",Database[[#This Row],[KEYNOTE '#]])),LEFT(Database[[#This Row],[KEYNOTE '#]],FIND("-",Database[[#This Row],[KEYNOTE '#]])-1),Database[[#This Row],[KEYNOTE '#]])</f>
        <v>STF</v>
      </c>
      <c r="AE8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1" s="50" t="str">
        <f>IF(AND(ISNUMBER(SEARCH("-",Database[[#This Row],[KEYNOTE '#]]))=TRUE,ISNUMBER(--RIGHT(Database[[#This Row],[KEYNOTE '#]]))=FALSE),RIGHT(Database[[#This Row],[KEYNOTE '#]],1),"")</f>
        <v/>
      </c>
      <c r="AG81" s="50">
        <v>79</v>
      </c>
      <c r="AH81" s="50" t="str">
        <f>IF(COUNTIF(Database[[#This Row],[BASE]:[INT. OTHER]],"g"),"INTERIOR",IF(COUNTIF(Database[[#This Row],[ROOF]:[EXT. OTHER]],"n"),"EXTERIOR",Database[[#This Row],[DIVISION '#]]))</f>
        <v>INTERIOR</v>
      </c>
      <c r="AI81" s="50" t="str">
        <f>IF(OR(Database[[#This Row],[KEYTIER1]]="INTERIOR",Database[[#This Row],[KEYTIER1]]="EXTERIOR"),"",Database[[#This Row],[DIVISION NAME]])</f>
        <v/>
      </c>
      <c r="AJ81" s="50" t="str">
        <f>IF(Database[[#This Row],[KEYTIER1]]="INTERIOR","INT",IF(Database[[#This Row],[KEYTIER1]]="EXTERIOR","EXT",Database[[#This Row],[SECTION '#]]))</f>
        <v>INT</v>
      </c>
      <c r="AK81" s="50" t="str">
        <f>IF(OR(Database[[#This Row],[KEYTIER2]]="INT",Database[[#This Row],[KEYTIER2]]="EXT"),"",IF(Database[[#This Row],[SECTION NAME]]="","",Database[[#This Row],[SECTION NAME]]))</f>
        <v/>
      </c>
    </row>
    <row r="82" spans="2:37" ht="29" x14ac:dyDescent="0.35">
      <c r="B82" s="50" t="s">
        <v>36</v>
      </c>
      <c r="C82" s="50">
        <v>9</v>
      </c>
      <c r="D82" s="50" t="s">
        <v>67</v>
      </c>
      <c r="E82" s="50">
        <v>96400</v>
      </c>
      <c r="F82" s="53" t="s">
        <v>390</v>
      </c>
      <c r="G82" s="72" t="s">
        <v>391</v>
      </c>
      <c r="H82" s="53" t="s">
        <v>392</v>
      </c>
      <c r="I82" s="64"/>
      <c r="J82" s="52"/>
      <c r="K82" s="52"/>
      <c r="L82" s="52" t="s">
        <v>38</v>
      </c>
      <c r="M82" s="52"/>
      <c r="N82" s="54"/>
      <c r="O82" s="66"/>
      <c r="P82" s="51"/>
      <c r="Q82" s="51"/>
      <c r="R82" s="51"/>
      <c r="S82" s="51"/>
      <c r="T82" s="55"/>
      <c r="U82" s="69"/>
      <c r="V82" s="50"/>
      <c r="W82" s="50"/>
      <c r="X82" s="50"/>
      <c r="Y82" s="50"/>
      <c r="Z82" s="50"/>
      <c r="AA82" s="50"/>
      <c r="AB82" s="50"/>
      <c r="AC82" s="50">
        <f>IF(COUNTIF($C$3:C82,C82)=1,1,IF(COUNTIF($E$3:E82,E82)=1,2,0))</f>
        <v>2</v>
      </c>
      <c r="AD82" s="50" t="str">
        <f>IF(ISNUMBER(SEARCH("-",Database[[#This Row],[KEYNOTE '#]])),LEFT(Database[[#This Row],[KEYNOTE '#]],FIND("-",Database[[#This Row],[KEYNOTE '#]])-1),Database[[#This Row],[KEYNOTE '#]])</f>
        <v>WDF</v>
      </c>
      <c r="AE8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2" s="50" t="str">
        <f>IF(AND(ISNUMBER(SEARCH("-",Database[[#This Row],[KEYNOTE '#]]))=TRUE,ISNUMBER(--RIGHT(Database[[#This Row],[KEYNOTE '#]]))=FALSE),RIGHT(Database[[#This Row],[KEYNOTE '#]],1),"")</f>
        <v/>
      </c>
      <c r="AG82" s="50">
        <v>80</v>
      </c>
      <c r="AH82" s="50" t="str">
        <f>IF(COUNTIF(Database[[#This Row],[BASE]:[INT. OTHER]],"g"),"INTERIOR",IF(COUNTIF(Database[[#This Row],[ROOF]:[EXT. OTHER]],"n"),"EXTERIOR",Database[[#This Row],[DIVISION '#]]))</f>
        <v>INTERIOR</v>
      </c>
      <c r="AI82" s="50" t="str">
        <f>IF(OR(Database[[#This Row],[KEYTIER1]]="INTERIOR",Database[[#This Row],[KEYTIER1]]="EXTERIOR"),"",Database[[#This Row],[DIVISION NAME]])</f>
        <v/>
      </c>
      <c r="AJ82" s="50" t="str">
        <f>IF(Database[[#This Row],[KEYTIER1]]="INTERIOR","INT",IF(Database[[#This Row],[KEYTIER1]]="EXTERIOR","EXT",Database[[#This Row],[SECTION '#]]))</f>
        <v>INT</v>
      </c>
      <c r="AK82" s="50" t="str">
        <f>IF(OR(Database[[#This Row],[KEYTIER2]]="INT",Database[[#This Row],[KEYTIER2]]="EXT"),"",IF(Database[[#This Row],[SECTION NAME]]="","",Database[[#This Row],[SECTION NAME]]))</f>
        <v/>
      </c>
    </row>
    <row r="83" spans="2:37" ht="29" x14ac:dyDescent="0.35">
      <c r="B83" s="50" t="s">
        <v>36</v>
      </c>
      <c r="C83" s="50">
        <v>9</v>
      </c>
      <c r="D83" s="50" t="s">
        <v>67</v>
      </c>
      <c r="E83" s="50">
        <v>96400</v>
      </c>
      <c r="F83" s="53" t="s">
        <v>390</v>
      </c>
      <c r="G83" s="72" t="s">
        <v>393</v>
      </c>
      <c r="H83" s="53" t="s">
        <v>394</v>
      </c>
      <c r="I83" s="64"/>
      <c r="J83" s="52"/>
      <c r="K83" s="52"/>
      <c r="L83" s="52" t="s">
        <v>38</v>
      </c>
      <c r="M83" s="52"/>
      <c r="N83" s="54"/>
      <c r="O83" s="66"/>
      <c r="P83" s="51"/>
      <c r="Q83" s="51"/>
      <c r="R83" s="51"/>
      <c r="S83" s="51"/>
      <c r="T83" s="55"/>
      <c r="U83" s="69"/>
      <c r="V83" s="50"/>
      <c r="W83" s="50"/>
      <c r="X83" s="50"/>
      <c r="Y83" s="50"/>
      <c r="Z83" s="50"/>
      <c r="AA83" s="50"/>
      <c r="AB83" s="50"/>
      <c r="AC83" s="50">
        <f>IF(COUNTIF($C$3:C83,C83)=1,1,IF(COUNTIF($E$3:E83,E83)=1,2,0))</f>
        <v>0</v>
      </c>
      <c r="AD83" s="50" t="str">
        <f>IF(ISNUMBER(SEARCH("-",Database[[#This Row],[KEYNOTE '#]])),LEFT(Database[[#This Row],[KEYNOTE '#]],FIND("-",Database[[#This Row],[KEYNOTE '#]])-1),Database[[#This Row],[KEYNOTE '#]])</f>
        <v>WDF</v>
      </c>
      <c r="AE8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3" s="50" t="str">
        <f>IF(AND(ISNUMBER(SEARCH("-",Database[[#This Row],[KEYNOTE '#]]))=TRUE,ISNUMBER(--RIGHT(Database[[#This Row],[KEYNOTE '#]]))=FALSE),RIGHT(Database[[#This Row],[KEYNOTE '#]],1),"")</f>
        <v/>
      </c>
      <c r="AG83" s="50">
        <v>81</v>
      </c>
      <c r="AH83" s="50" t="str">
        <f>IF(COUNTIF(Database[[#This Row],[BASE]:[INT. OTHER]],"g"),"INTERIOR",IF(COUNTIF(Database[[#This Row],[ROOF]:[EXT. OTHER]],"n"),"EXTERIOR",Database[[#This Row],[DIVISION '#]]))</f>
        <v>INTERIOR</v>
      </c>
      <c r="AI83" s="50" t="str">
        <f>IF(OR(Database[[#This Row],[KEYTIER1]]="INTERIOR",Database[[#This Row],[KEYTIER1]]="EXTERIOR"),"",Database[[#This Row],[DIVISION NAME]])</f>
        <v/>
      </c>
      <c r="AJ83" s="50" t="str">
        <f>IF(Database[[#This Row],[KEYTIER1]]="INTERIOR","INT",IF(Database[[#This Row],[KEYTIER1]]="EXTERIOR","EXT",Database[[#This Row],[SECTION '#]]))</f>
        <v>INT</v>
      </c>
      <c r="AK83" s="50" t="str">
        <f>IF(OR(Database[[#This Row],[KEYTIER2]]="INT",Database[[#This Row],[KEYTIER2]]="EXT"),"",IF(Database[[#This Row],[SECTION NAME]]="","",Database[[#This Row],[SECTION NAME]]))</f>
        <v/>
      </c>
    </row>
    <row r="84" spans="2:37" ht="29" x14ac:dyDescent="0.35">
      <c r="B84" s="50" t="s">
        <v>36</v>
      </c>
      <c r="C84" s="50">
        <v>9</v>
      </c>
      <c r="D84" s="50" t="s">
        <v>67</v>
      </c>
      <c r="E84" s="50">
        <v>96500</v>
      </c>
      <c r="F84" s="53" t="s">
        <v>395</v>
      </c>
      <c r="G84" s="72" t="s">
        <v>396</v>
      </c>
      <c r="H84" s="53" t="s">
        <v>397</v>
      </c>
      <c r="I84" s="64"/>
      <c r="J84" s="52"/>
      <c r="K84" s="52"/>
      <c r="L84" s="52" t="s">
        <v>38</v>
      </c>
      <c r="M84" s="52"/>
      <c r="N84" s="54"/>
      <c r="O84" s="66"/>
      <c r="P84" s="51"/>
      <c r="Q84" s="51"/>
      <c r="R84" s="51"/>
      <c r="S84" s="51"/>
      <c r="T84" s="55"/>
      <c r="U84" s="69"/>
      <c r="V84" s="50"/>
      <c r="W84" s="50"/>
      <c r="X84" s="50"/>
      <c r="Y84" s="50"/>
      <c r="Z84" s="50"/>
      <c r="AA84" s="50"/>
      <c r="AB84" s="50"/>
      <c r="AC84" s="50">
        <f>IF(COUNTIF($C$3:C84,C84)=1,1,IF(COUNTIF($E$3:E84,E84)=1,2,0))</f>
        <v>2</v>
      </c>
      <c r="AD84" s="50" t="str">
        <f>IF(ISNUMBER(SEARCH("-",Database[[#This Row],[KEYNOTE '#]])),LEFT(Database[[#This Row],[KEYNOTE '#]],FIND("-",Database[[#This Row],[KEYNOTE '#]])-1),Database[[#This Row],[KEYNOTE '#]])</f>
        <v>RF</v>
      </c>
      <c r="AE8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4" s="50" t="str">
        <f>IF(AND(ISNUMBER(SEARCH("-",Database[[#This Row],[KEYNOTE '#]]))=TRUE,ISNUMBER(--RIGHT(Database[[#This Row],[KEYNOTE '#]]))=FALSE),RIGHT(Database[[#This Row],[KEYNOTE '#]],1),"")</f>
        <v/>
      </c>
      <c r="AG84" s="50">
        <v>82</v>
      </c>
      <c r="AH84" s="50" t="str">
        <f>IF(COUNTIF(Database[[#This Row],[BASE]:[INT. OTHER]],"g"),"INTERIOR",IF(COUNTIF(Database[[#This Row],[ROOF]:[EXT. OTHER]],"n"),"EXTERIOR",Database[[#This Row],[DIVISION '#]]))</f>
        <v>INTERIOR</v>
      </c>
      <c r="AI84" s="50" t="str">
        <f>IF(OR(Database[[#This Row],[KEYTIER1]]="INTERIOR",Database[[#This Row],[KEYTIER1]]="EXTERIOR"),"",Database[[#This Row],[DIVISION NAME]])</f>
        <v/>
      </c>
      <c r="AJ84" s="50" t="str">
        <f>IF(Database[[#This Row],[KEYTIER1]]="INTERIOR","INT",IF(Database[[#This Row],[KEYTIER1]]="EXTERIOR","EXT",Database[[#This Row],[SECTION '#]]))</f>
        <v>INT</v>
      </c>
      <c r="AK84" s="50" t="str">
        <f>IF(OR(Database[[#This Row],[KEYTIER2]]="INT",Database[[#This Row],[KEYTIER2]]="EXT"),"",IF(Database[[#This Row],[SECTION NAME]]="","",Database[[#This Row],[SECTION NAME]]))</f>
        <v/>
      </c>
    </row>
    <row r="85" spans="2:37" ht="29" x14ac:dyDescent="0.35">
      <c r="B85" s="50" t="s">
        <v>36</v>
      </c>
      <c r="C85" s="50">
        <v>9</v>
      </c>
      <c r="D85" s="50" t="s">
        <v>67</v>
      </c>
      <c r="E85" s="50">
        <v>96513</v>
      </c>
      <c r="F85" s="53" t="s">
        <v>398</v>
      </c>
      <c r="G85" s="72" t="s">
        <v>399</v>
      </c>
      <c r="H85" s="53" t="s">
        <v>400</v>
      </c>
      <c r="I85" s="64" t="s">
        <v>38</v>
      </c>
      <c r="J85" s="52"/>
      <c r="K85" s="52"/>
      <c r="L85" s="52"/>
      <c r="M85" s="52"/>
      <c r="N85" s="54"/>
      <c r="O85" s="66"/>
      <c r="P85" s="51"/>
      <c r="Q85" s="51"/>
      <c r="R85" s="51"/>
      <c r="S85" s="51"/>
      <c r="T85" s="55"/>
      <c r="U85" s="69"/>
      <c r="V85" s="50"/>
      <c r="W85" s="50"/>
      <c r="X85" s="50"/>
      <c r="Y85" s="50"/>
      <c r="Z85" s="50"/>
      <c r="AA85" s="50"/>
      <c r="AB85" s="50"/>
      <c r="AC85" s="50">
        <f>IF(COUNTIF($C$3:C85,C85)=1,1,IF(COUNTIF($E$3:E85,E85)=1,2,0))</f>
        <v>2</v>
      </c>
      <c r="AD85" s="50" t="str">
        <f>IF(ISNUMBER(SEARCH("-",Database[[#This Row],[KEYNOTE '#]])),LEFT(Database[[#This Row],[KEYNOTE '#]],FIND("-",Database[[#This Row],[KEYNOTE '#]])-1),Database[[#This Row],[KEYNOTE '#]])</f>
        <v>RB</v>
      </c>
      <c r="AE8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5" s="50" t="str">
        <f>IF(AND(ISNUMBER(SEARCH("-",Database[[#This Row],[KEYNOTE '#]]))=TRUE,ISNUMBER(--RIGHT(Database[[#This Row],[KEYNOTE '#]]))=FALSE),RIGHT(Database[[#This Row],[KEYNOTE '#]],1),"")</f>
        <v/>
      </c>
      <c r="AG85" s="50">
        <v>83</v>
      </c>
      <c r="AH85" s="50" t="str">
        <f>IF(COUNTIF(Database[[#This Row],[BASE]:[INT. OTHER]],"g"),"INTERIOR",IF(COUNTIF(Database[[#This Row],[ROOF]:[EXT. OTHER]],"n"),"EXTERIOR",Database[[#This Row],[DIVISION '#]]))</f>
        <v>INTERIOR</v>
      </c>
      <c r="AI85" s="50" t="str">
        <f>IF(OR(Database[[#This Row],[KEYTIER1]]="INTERIOR",Database[[#This Row],[KEYTIER1]]="EXTERIOR"),"",Database[[#This Row],[DIVISION NAME]])</f>
        <v/>
      </c>
      <c r="AJ85" s="50" t="str">
        <f>IF(Database[[#This Row],[KEYTIER1]]="INTERIOR","INT",IF(Database[[#This Row],[KEYTIER1]]="EXTERIOR","EXT",Database[[#This Row],[SECTION '#]]))</f>
        <v>INT</v>
      </c>
      <c r="AK85" s="50" t="str">
        <f>IF(OR(Database[[#This Row],[KEYTIER2]]="INT",Database[[#This Row],[KEYTIER2]]="EXT"),"",IF(Database[[#This Row],[SECTION NAME]]="","",Database[[#This Row],[SECTION NAME]]))</f>
        <v/>
      </c>
    </row>
    <row r="86" spans="2:37" ht="29" x14ac:dyDescent="0.35">
      <c r="B86" s="50" t="s">
        <v>36</v>
      </c>
      <c r="C86" s="50">
        <v>9</v>
      </c>
      <c r="D86" s="50" t="s">
        <v>67</v>
      </c>
      <c r="E86" s="50">
        <v>96600</v>
      </c>
      <c r="F86" s="53" t="s">
        <v>401</v>
      </c>
      <c r="G86" s="72" t="s">
        <v>402</v>
      </c>
      <c r="H86" s="53" t="s">
        <v>403</v>
      </c>
      <c r="I86" s="64"/>
      <c r="J86" s="52"/>
      <c r="K86" s="52"/>
      <c r="L86" s="52" t="s">
        <v>38</v>
      </c>
      <c r="M86" s="52"/>
      <c r="N86" s="54"/>
      <c r="O86" s="66"/>
      <c r="P86" s="51"/>
      <c r="Q86" s="51"/>
      <c r="R86" s="51"/>
      <c r="S86" s="51"/>
      <c r="T86" s="55"/>
      <c r="U86" s="69"/>
      <c r="V86" s="50"/>
      <c r="W86" s="50"/>
      <c r="X86" s="50"/>
      <c r="Y86" s="50"/>
      <c r="Z86" s="50"/>
      <c r="AA86" s="50"/>
      <c r="AB86" s="50"/>
      <c r="AC86" s="50">
        <f>IF(COUNTIF($C$3:C86,C86)=1,1,IF(COUNTIF($E$3:E86,E86)=1,2,0))</f>
        <v>2</v>
      </c>
      <c r="AD86" s="50" t="str">
        <f>IF(ISNUMBER(SEARCH("-",Database[[#This Row],[KEYNOTE '#]])),LEFT(Database[[#This Row],[KEYNOTE '#]],FIND("-",Database[[#This Row],[KEYNOTE '#]])-1),Database[[#This Row],[KEYNOTE '#]])</f>
        <v>TZ</v>
      </c>
      <c r="AE8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6" s="50" t="str">
        <f>IF(AND(ISNUMBER(SEARCH("-",Database[[#This Row],[KEYNOTE '#]]))=TRUE,ISNUMBER(--RIGHT(Database[[#This Row],[KEYNOTE '#]]))=FALSE),RIGHT(Database[[#This Row],[KEYNOTE '#]],1),"")</f>
        <v/>
      </c>
      <c r="AG86" s="50">
        <v>84</v>
      </c>
      <c r="AH86" s="50" t="str">
        <f>IF(COUNTIF(Database[[#This Row],[BASE]:[INT. OTHER]],"g"),"INTERIOR",IF(COUNTIF(Database[[#This Row],[ROOF]:[EXT. OTHER]],"n"),"EXTERIOR",Database[[#This Row],[DIVISION '#]]))</f>
        <v>INTERIOR</v>
      </c>
      <c r="AI86" s="50" t="str">
        <f>IF(OR(Database[[#This Row],[KEYTIER1]]="INTERIOR",Database[[#This Row],[KEYTIER1]]="EXTERIOR"),"",Database[[#This Row],[DIVISION NAME]])</f>
        <v/>
      </c>
      <c r="AJ86" s="50" t="str">
        <f>IF(Database[[#This Row],[KEYTIER1]]="INTERIOR","INT",IF(Database[[#This Row],[KEYTIER1]]="EXTERIOR","EXT",Database[[#This Row],[SECTION '#]]))</f>
        <v>INT</v>
      </c>
      <c r="AK86" s="50" t="str">
        <f>IF(OR(Database[[#This Row],[KEYTIER2]]="INT",Database[[#This Row],[KEYTIER2]]="EXT"),"",IF(Database[[#This Row],[SECTION NAME]]="","",Database[[#This Row],[SECTION NAME]]))</f>
        <v/>
      </c>
    </row>
    <row r="87" spans="2:37" ht="29" x14ac:dyDescent="0.35">
      <c r="B87" s="50" t="s">
        <v>36</v>
      </c>
      <c r="C87" s="50">
        <v>9</v>
      </c>
      <c r="D87" s="50" t="s">
        <v>67</v>
      </c>
      <c r="E87" s="50">
        <v>96600</v>
      </c>
      <c r="F87" s="53" t="s">
        <v>401</v>
      </c>
      <c r="G87" s="72" t="s">
        <v>404</v>
      </c>
      <c r="H87" s="53" t="s">
        <v>405</v>
      </c>
      <c r="I87" s="64"/>
      <c r="J87" s="52"/>
      <c r="K87" s="52"/>
      <c r="L87" s="52" t="s">
        <v>38</v>
      </c>
      <c r="M87" s="52"/>
      <c r="N87" s="54"/>
      <c r="O87" s="66"/>
      <c r="P87" s="51"/>
      <c r="Q87" s="51"/>
      <c r="R87" s="51"/>
      <c r="S87" s="51"/>
      <c r="T87" s="55"/>
      <c r="U87" s="69"/>
      <c r="V87" s="50"/>
      <c r="W87" s="50"/>
      <c r="X87" s="50"/>
      <c r="Y87" s="50"/>
      <c r="Z87" s="50"/>
      <c r="AA87" s="50"/>
      <c r="AB87" s="50"/>
      <c r="AC87" s="50">
        <f>IF(COUNTIF($C$3:C87,C87)=1,1,IF(COUNTIF($E$3:E87,E87)=1,2,0))</f>
        <v>0</v>
      </c>
      <c r="AD87" s="50" t="str">
        <f>IF(ISNUMBER(SEARCH("-",Database[[#This Row],[KEYNOTE '#]])),LEFT(Database[[#This Row],[KEYNOTE '#]],FIND("-",Database[[#This Row],[KEYNOTE '#]])-1),Database[[#This Row],[KEYNOTE '#]])</f>
        <v>TZ</v>
      </c>
      <c r="AE8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7" s="50" t="str">
        <f>IF(AND(ISNUMBER(SEARCH("-",Database[[#This Row],[KEYNOTE '#]]))=TRUE,ISNUMBER(--RIGHT(Database[[#This Row],[KEYNOTE '#]]))=FALSE),RIGHT(Database[[#This Row],[KEYNOTE '#]],1),"")</f>
        <v/>
      </c>
      <c r="AG87" s="50">
        <v>85</v>
      </c>
      <c r="AH87" s="50" t="str">
        <f>IF(COUNTIF(Database[[#This Row],[BASE]:[INT. OTHER]],"g"),"INTERIOR",IF(COUNTIF(Database[[#This Row],[ROOF]:[EXT. OTHER]],"n"),"EXTERIOR",Database[[#This Row],[DIVISION '#]]))</f>
        <v>INTERIOR</v>
      </c>
      <c r="AI87" s="50" t="str">
        <f>IF(OR(Database[[#This Row],[KEYTIER1]]="INTERIOR",Database[[#This Row],[KEYTIER1]]="EXTERIOR"),"",Database[[#This Row],[DIVISION NAME]])</f>
        <v/>
      </c>
      <c r="AJ87" s="50" t="str">
        <f>IF(Database[[#This Row],[KEYTIER1]]="INTERIOR","INT",IF(Database[[#This Row],[KEYTIER1]]="EXTERIOR","EXT",Database[[#This Row],[SECTION '#]]))</f>
        <v>INT</v>
      </c>
      <c r="AK87" s="50" t="str">
        <f>IF(OR(Database[[#This Row],[KEYTIER2]]="INT",Database[[#This Row],[KEYTIER2]]="EXT"),"",IF(Database[[#This Row],[SECTION NAME]]="","",Database[[#This Row],[SECTION NAME]]))</f>
        <v/>
      </c>
    </row>
    <row r="88" spans="2:37" ht="29" x14ac:dyDescent="0.35">
      <c r="B88" s="50" t="s">
        <v>36</v>
      </c>
      <c r="C88" s="50">
        <v>9</v>
      </c>
      <c r="D88" s="50" t="s">
        <v>67</v>
      </c>
      <c r="E88" s="50">
        <v>96700</v>
      </c>
      <c r="F88" s="53" t="s">
        <v>406</v>
      </c>
      <c r="G88" s="72" t="s">
        <v>407</v>
      </c>
      <c r="H88" s="53" t="s">
        <v>408</v>
      </c>
      <c r="I88" s="64"/>
      <c r="J88" s="52"/>
      <c r="K88" s="52"/>
      <c r="L88" s="52" t="s">
        <v>38</v>
      </c>
      <c r="M88" s="52"/>
      <c r="N88" s="54"/>
      <c r="O88" s="66"/>
      <c r="P88" s="51"/>
      <c r="Q88" s="51"/>
      <c r="R88" s="51"/>
      <c r="S88" s="51"/>
      <c r="T88" s="55"/>
      <c r="U88" s="69"/>
      <c r="V88" s="50"/>
      <c r="W88" s="50"/>
      <c r="X88" s="50"/>
      <c r="Y88" s="50"/>
      <c r="Z88" s="50"/>
      <c r="AA88" s="50"/>
      <c r="AB88" s="50"/>
      <c r="AC88" s="50">
        <f>IF(COUNTIF($C$3:C88,C88)=1,1,IF(COUNTIF($E$3:E88,E88)=1,2,0))</f>
        <v>2</v>
      </c>
      <c r="AD88" s="50" t="str">
        <f>IF(ISNUMBER(SEARCH("-",Database[[#This Row],[KEYNOTE '#]])),LEFT(Database[[#This Row],[KEYNOTE '#]],FIND("-",Database[[#This Row],[KEYNOTE '#]])-1),Database[[#This Row],[KEYNOTE '#]])</f>
        <v>RSF</v>
      </c>
      <c r="AE8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8" s="50" t="str">
        <f>IF(AND(ISNUMBER(SEARCH("-",Database[[#This Row],[KEYNOTE '#]]))=TRUE,ISNUMBER(--RIGHT(Database[[#This Row],[KEYNOTE '#]]))=FALSE),RIGHT(Database[[#This Row],[KEYNOTE '#]],1),"")</f>
        <v/>
      </c>
      <c r="AG88" s="50">
        <v>86</v>
      </c>
      <c r="AH88" s="50" t="str">
        <f>IF(COUNTIF(Database[[#This Row],[BASE]:[INT. OTHER]],"g"),"INTERIOR",IF(COUNTIF(Database[[#This Row],[ROOF]:[EXT. OTHER]],"n"),"EXTERIOR",Database[[#This Row],[DIVISION '#]]))</f>
        <v>INTERIOR</v>
      </c>
      <c r="AI88" s="50" t="str">
        <f>IF(OR(Database[[#This Row],[KEYTIER1]]="INTERIOR",Database[[#This Row],[KEYTIER1]]="EXTERIOR"),"",Database[[#This Row],[DIVISION NAME]])</f>
        <v/>
      </c>
      <c r="AJ88" s="50" t="str">
        <f>IF(Database[[#This Row],[KEYTIER1]]="INTERIOR","INT",IF(Database[[#This Row],[KEYTIER1]]="EXTERIOR","EXT",Database[[#This Row],[SECTION '#]]))</f>
        <v>INT</v>
      </c>
      <c r="AK88" s="50" t="str">
        <f>IF(OR(Database[[#This Row],[KEYTIER2]]="INT",Database[[#This Row],[KEYTIER2]]="EXT"),"",IF(Database[[#This Row],[SECTION NAME]]="","",Database[[#This Row],[SECTION NAME]]))</f>
        <v/>
      </c>
    </row>
    <row r="89" spans="2:37" ht="29" x14ac:dyDescent="0.35">
      <c r="B89" s="50" t="s">
        <v>36</v>
      </c>
      <c r="C89" s="50">
        <v>9</v>
      </c>
      <c r="D89" s="50" t="s">
        <v>67</v>
      </c>
      <c r="E89" s="50">
        <v>96813</v>
      </c>
      <c r="F89" s="53" t="s">
        <v>409</v>
      </c>
      <c r="G89" s="72" t="s">
        <v>410</v>
      </c>
      <c r="H89" s="53" t="s">
        <v>411</v>
      </c>
      <c r="I89" s="64"/>
      <c r="J89" s="52"/>
      <c r="K89" s="52"/>
      <c r="L89" s="52" t="s">
        <v>38</v>
      </c>
      <c r="M89" s="52"/>
      <c r="N89" s="54"/>
      <c r="O89" s="66"/>
      <c r="P89" s="51"/>
      <c r="Q89" s="51"/>
      <c r="R89" s="51"/>
      <c r="S89" s="51"/>
      <c r="T89" s="55"/>
      <c r="U89" s="69"/>
      <c r="V89" s="50"/>
      <c r="W89" s="50"/>
      <c r="X89" s="50"/>
      <c r="Y89" s="50"/>
      <c r="Z89" s="50"/>
      <c r="AA89" s="50"/>
      <c r="AB89" s="50"/>
      <c r="AC89" s="50">
        <f>IF(COUNTIF($C$3:C89,C89)=1,1,IF(COUNTIF($E$3:E89,E89)=1,2,0))</f>
        <v>2</v>
      </c>
      <c r="AD89" s="50" t="str">
        <f>IF(ISNUMBER(SEARCH("-",Database[[#This Row],[KEYNOTE '#]])),LEFT(Database[[#This Row],[KEYNOTE '#]],FIND("-",Database[[#This Row],[KEYNOTE '#]])-1),Database[[#This Row],[KEYNOTE '#]])</f>
        <v>CPT</v>
      </c>
      <c r="AE8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9" s="50" t="str">
        <f>IF(AND(ISNUMBER(SEARCH("-",Database[[#This Row],[KEYNOTE '#]]))=TRUE,ISNUMBER(--RIGHT(Database[[#This Row],[KEYNOTE '#]]))=FALSE),RIGHT(Database[[#This Row],[KEYNOTE '#]],1),"")</f>
        <v/>
      </c>
      <c r="AG89" s="50">
        <v>87</v>
      </c>
      <c r="AH89" s="50" t="str">
        <f>IF(COUNTIF(Database[[#This Row],[BASE]:[INT. OTHER]],"g"),"INTERIOR",IF(COUNTIF(Database[[#This Row],[ROOF]:[EXT. OTHER]],"n"),"EXTERIOR",Database[[#This Row],[DIVISION '#]]))</f>
        <v>INTERIOR</v>
      </c>
      <c r="AI89" s="50" t="str">
        <f>IF(OR(Database[[#This Row],[KEYTIER1]]="INTERIOR",Database[[#This Row],[KEYTIER1]]="EXTERIOR"),"",Database[[#This Row],[DIVISION NAME]])</f>
        <v/>
      </c>
      <c r="AJ89" s="50" t="str">
        <f>IF(Database[[#This Row],[KEYTIER1]]="INTERIOR","INT",IF(Database[[#This Row],[KEYTIER1]]="EXTERIOR","EXT",Database[[#This Row],[SECTION '#]]))</f>
        <v>INT</v>
      </c>
      <c r="AK89" s="50" t="str">
        <f>IF(OR(Database[[#This Row],[KEYTIER2]]="INT",Database[[#This Row],[KEYTIER2]]="EXT"),"",IF(Database[[#This Row],[SECTION NAME]]="","",Database[[#This Row],[SECTION NAME]]))</f>
        <v/>
      </c>
    </row>
    <row r="90" spans="2:37" ht="29" x14ac:dyDescent="0.35">
      <c r="B90" s="50" t="s">
        <v>36</v>
      </c>
      <c r="C90" s="50">
        <v>9</v>
      </c>
      <c r="D90" s="50" t="s">
        <v>67</v>
      </c>
      <c r="E90" s="50">
        <v>96816</v>
      </c>
      <c r="F90" s="53" t="s">
        <v>412</v>
      </c>
      <c r="G90" s="72" t="s">
        <v>413</v>
      </c>
      <c r="H90" s="53" t="s">
        <v>414</v>
      </c>
      <c r="I90" s="64"/>
      <c r="J90" s="52"/>
      <c r="K90" s="52"/>
      <c r="L90" s="52" t="s">
        <v>38</v>
      </c>
      <c r="M90" s="52"/>
      <c r="N90" s="54"/>
      <c r="O90" s="66"/>
      <c r="P90" s="51"/>
      <c r="Q90" s="51"/>
      <c r="R90" s="51"/>
      <c r="S90" s="51"/>
      <c r="T90" s="55"/>
      <c r="U90" s="69"/>
      <c r="V90" s="50"/>
      <c r="W90" s="50"/>
      <c r="X90" s="50"/>
      <c r="Y90" s="50"/>
      <c r="Z90" s="50"/>
      <c r="AA90" s="50"/>
      <c r="AB90" s="50"/>
      <c r="AC90" s="50">
        <f>IF(COUNTIF($C$3:C90,C90)=1,1,IF(COUNTIF($E$3:E90,E90)=1,2,0))</f>
        <v>2</v>
      </c>
      <c r="AD90" s="50" t="str">
        <f>IF(ISNUMBER(SEARCH("-",Database[[#This Row],[KEYNOTE '#]])),LEFT(Database[[#This Row],[KEYNOTE '#]],FIND("-",Database[[#This Row],[KEYNOTE '#]])-1),Database[[#This Row],[KEYNOTE '#]])</f>
        <v>CPT</v>
      </c>
      <c r="AE9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0" s="50" t="str">
        <f>IF(AND(ISNUMBER(SEARCH("-",Database[[#This Row],[KEYNOTE '#]]))=TRUE,ISNUMBER(--RIGHT(Database[[#This Row],[KEYNOTE '#]]))=FALSE),RIGHT(Database[[#This Row],[KEYNOTE '#]],1),"")</f>
        <v/>
      </c>
      <c r="AG90" s="50">
        <v>88</v>
      </c>
      <c r="AH90" s="50" t="str">
        <f>IF(COUNTIF(Database[[#This Row],[BASE]:[INT. OTHER]],"g"),"INTERIOR",IF(COUNTIF(Database[[#This Row],[ROOF]:[EXT. OTHER]],"n"),"EXTERIOR",Database[[#This Row],[DIVISION '#]]))</f>
        <v>INTERIOR</v>
      </c>
      <c r="AI90" s="50" t="str">
        <f>IF(OR(Database[[#This Row],[KEYTIER1]]="INTERIOR",Database[[#This Row],[KEYTIER1]]="EXTERIOR"),"",Database[[#This Row],[DIVISION NAME]])</f>
        <v/>
      </c>
      <c r="AJ90" s="50" t="str">
        <f>IF(Database[[#This Row],[KEYTIER1]]="INTERIOR","INT",IF(Database[[#This Row],[KEYTIER1]]="EXTERIOR","EXT",Database[[#This Row],[SECTION '#]]))</f>
        <v>INT</v>
      </c>
      <c r="AK90" s="50" t="str">
        <f>IF(OR(Database[[#This Row],[KEYTIER2]]="INT",Database[[#This Row],[KEYTIER2]]="EXT"),"",IF(Database[[#This Row],[SECTION NAME]]="","",Database[[#This Row],[SECTION NAME]]))</f>
        <v/>
      </c>
    </row>
    <row r="91" spans="2:37" ht="29" x14ac:dyDescent="0.35">
      <c r="B91" s="50" t="s">
        <v>36</v>
      </c>
      <c r="C91" s="50">
        <v>9</v>
      </c>
      <c r="D91" s="50" t="s">
        <v>67</v>
      </c>
      <c r="E91" s="50">
        <v>97200</v>
      </c>
      <c r="F91" s="53" t="s">
        <v>415</v>
      </c>
      <c r="G91" s="72" t="s">
        <v>416</v>
      </c>
      <c r="H91" s="53" t="s">
        <v>417</v>
      </c>
      <c r="I91" s="64"/>
      <c r="J91" s="52" t="s">
        <v>38</v>
      </c>
      <c r="K91" s="52"/>
      <c r="L91" s="52"/>
      <c r="M91" s="52"/>
      <c r="N91" s="54"/>
      <c r="O91" s="66"/>
      <c r="P91" s="51"/>
      <c r="Q91" s="51"/>
      <c r="R91" s="51"/>
      <c r="S91" s="51"/>
      <c r="T91" s="55"/>
      <c r="U91" s="69"/>
      <c r="V91" s="50"/>
      <c r="W91" s="50"/>
      <c r="X91" s="50"/>
      <c r="Y91" s="50"/>
      <c r="Z91" s="50"/>
      <c r="AA91" s="50"/>
      <c r="AB91" s="50"/>
      <c r="AC91" s="50">
        <f>IF(COUNTIF($C$3:C91,C91)=1,1,IF(COUNTIF($E$3:E91,E91)=1,2,0))</f>
        <v>2</v>
      </c>
      <c r="AD91" s="50" t="str">
        <f>IF(ISNUMBER(SEARCH("-",Database[[#This Row],[KEYNOTE '#]])),LEFT(Database[[#This Row],[KEYNOTE '#]],FIND("-",Database[[#This Row],[KEYNOTE '#]])-1),Database[[#This Row],[KEYNOTE '#]])</f>
        <v>WC</v>
      </c>
      <c r="AE9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1" s="50" t="str">
        <f>IF(AND(ISNUMBER(SEARCH("-",Database[[#This Row],[KEYNOTE '#]]))=TRUE,ISNUMBER(--RIGHT(Database[[#This Row],[KEYNOTE '#]]))=FALSE),RIGHT(Database[[#This Row],[KEYNOTE '#]],1),"")</f>
        <v/>
      </c>
      <c r="AG91" s="50">
        <v>89</v>
      </c>
      <c r="AH91" s="50" t="str">
        <f>IF(COUNTIF(Database[[#This Row],[BASE]:[INT. OTHER]],"g"),"INTERIOR",IF(COUNTIF(Database[[#This Row],[ROOF]:[EXT. OTHER]],"n"),"EXTERIOR",Database[[#This Row],[DIVISION '#]]))</f>
        <v>INTERIOR</v>
      </c>
      <c r="AI91" s="50" t="str">
        <f>IF(OR(Database[[#This Row],[KEYTIER1]]="INTERIOR",Database[[#This Row],[KEYTIER1]]="EXTERIOR"),"",Database[[#This Row],[DIVISION NAME]])</f>
        <v/>
      </c>
      <c r="AJ91" s="50" t="str">
        <f>IF(Database[[#This Row],[KEYTIER1]]="INTERIOR","INT",IF(Database[[#This Row],[KEYTIER1]]="EXTERIOR","EXT",Database[[#This Row],[SECTION '#]]))</f>
        <v>INT</v>
      </c>
      <c r="AK91" s="50" t="str">
        <f>IF(OR(Database[[#This Row],[KEYTIER2]]="INT",Database[[#This Row],[KEYTIER2]]="EXT"),"",IF(Database[[#This Row],[SECTION NAME]]="","",Database[[#This Row],[SECTION NAME]]))</f>
        <v/>
      </c>
    </row>
    <row r="92" spans="2:37" ht="29" x14ac:dyDescent="0.35">
      <c r="B92" s="50" t="s">
        <v>36</v>
      </c>
      <c r="C92" s="50">
        <v>9</v>
      </c>
      <c r="D92" s="50" t="s">
        <v>67</v>
      </c>
      <c r="E92" s="50">
        <v>97500</v>
      </c>
      <c r="F92" s="53" t="s">
        <v>418</v>
      </c>
      <c r="G92" s="72" t="s">
        <v>419</v>
      </c>
      <c r="H92" s="53" t="s">
        <v>420</v>
      </c>
      <c r="I92" s="64"/>
      <c r="J92" s="52" t="s">
        <v>38</v>
      </c>
      <c r="K92" s="52"/>
      <c r="L92" s="52"/>
      <c r="M92" s="52"/>
      <c r="N92" s="54"/>
      <c r="O92" s="66"/>
      <c r="P92" s="51"/>
      <c r="Q92" s="51"/>
      <c r="R92" s="51"/>
      <c r="S92" s="51"/>
      <c r="T92" s="55"/>
      <c r="U92" s="69"/>
      <c r="V92" s="50"/>
      <c r="W92" s="50"/>
      <c r="X92" s="50"/>
      <c r="Y92" s="50"/>
      <c r="Z92" s="50"/>
      <c r="AA92" s="50"/>
      <c r="AB92" s="50"/>
      <c r="AC92" s="50">
        <f>IF(COUNTIF($C$3:C92,C92)=1,1,IF(COUNTIF($E$3:E92,E92)=1,2,0))</f>
        <v>2</v>
      </c>
      <c r="AD92" s="50" t="str">
        <f>IF(ISNUMBER(SEARCH("-",Database[[#This Row],[KEYNOTE '#]])),LEFT(Database[[#This Row],[KEYNOTE '#]],FIND("-",Database[[#This Row],[KEYNOTE '#]])-1),Database[[#This Row],[KEYNOTE '#]])</f>
        <v>ST</v>
      </c>
      <c r="AE9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2" s="50" t="str">
        <f>IF(AND(ISNUMBER(SEARCH("-",Database[[#This Row],[KEYNOTE '#]]))=TRUE,ISNUMBER(--RIGHT(Database[[#This Row],[KEYNOTE '#]]))=FALSE),RIGHT(Database[[#This Row],[KEYNOTE '#]],1),"")</f>
        <v/>
      </c>
      <c r="AG92" s="50">
        <v>90</v>
      </c>
      <c r="AH92" s="50" t="str">
        <f>IF(COUNTIF(Database[[#This Row],[BASE]:[INT. OTHER]],"g"),"INTERIOR",IF(COUNTIF(Database[[#This Row],[ROOF]:[EXT. OTHER]],"n"),"EXTERIOR",Database[[#This Row],[DIVISION '#]]))</f>
        <v>INTERIOR</v>
      </c>
      <c r="AI92" s="50" t="str">
        <f>IF(OR(Database[[#This Row],[KEYTIER1]]="INTERIOR",Database[[#This Row],[KEYTIER1]]="EXTERIOR"),"",Database[[#This Row],[DIVISION NAME]])</f>
        <v/>
      </c>
      <c r="AJ92" s="50" t="str">
        <f>IF(Database[[#This Row],[KEYTIER1]]="INTERIOR","INT",IF(Database[[#This Row],[KEYTIER1]]="EXTERIOR","EXT",Database[[#This Row],[SECTION '#]]))</f>
        <v>INT</v>
      </c>
      <c r="AK92" s="50" t="str">
        <f>IF(OR(Database[[#This Row],[KEYTIER2]]="INT",Database[[#This Row],[KEYTIER2]]="EXT"),"",IF(Database[[#This Row],[SECTION NAME]]="","",Database[[#This Row],[SECTION NAME]]))</f>
        <v/>
      </c>
    </row>
    <row r="93" spans="2:37" ht="29" x14ac:dyDescent="0.35">
      <c r="B93" s="50" t="s">
        <v>36</v>
      </c>
      <c r="C93" s="50">
        <v>9</v>
      </c>
      <c r="D93" s="50" t="s">
        <v>67</v>
      </c>
      <c r="E93" s="50">
        <v>97700</v>
      </c>
      <c r="F93" s="53" t="s">
        <v>570</v>
      </c>
      <c r="G93" s="72" t="s">
        <v>546</v>
      </c>
      <c r="H93" s="53" t="s">
        <v>547</v>
      </c>
      <c r="I93" s="64"/>
      <c r="J93" s="52"/>
      <c r="K93" s="52" t="s">
        <v>38</v>
      </c>
      <c r="L93" s="52"/>
      <c r="M93" s="52"/>
      <c r="N93" s="54"/>
      <c r="O93" s="66"/>
      <c r="P93" s="51"/>
      <c r="Q93" s="51"/>
      <c r="R93" s="51"/>
      <c r="S93" s="51"/>
      <c r="T93" s="55"/>
      <c r="U93" s="69"/>
      <c r="V93" s="50"/>
      <c r="W93" s="50"/>
      <c r="X93" s="50"/>
      <c r="Y93" s="50"/>
      <c r="Z93" s="50"/>
      <c r="AA93" s="50"/>
      <c r="AB93" s="50"/>
      <c r="AC93" s="50">
        <f>IF(COUNTIF($C$3:C93,C93)=1,1,IF(COUNTIF($E$3:E93,E93)=1,2,0))</f>
        <v>2</v>
      </c>
      <c r="AD93" s="50" t="str">
        <f>IF(ISNUMBER(SEARCH("-",Database[[#This Row],[KEYNOTE '#]])),LEFT(Database[[#This Row],[KEYNOTE '#]],FIND("-",Database[[#This Row],[KEYNOTE '#]])-1),Database[[#This Row],[KEYNOTE '#]])</f>
        <v>FRP</v>
      </c>
      <c r="AE9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3" s="50" t="str">
        <f>IF(AND(ISNUMBER(SEARCH("-",Database[[#This Row],[KEYNOTE '#]]))=TRUE,ISNUMBER(--RIGHT(Database[[#This Row],[KEYNOTE '#]]))=FALSE),RIGHT(Database[[#This Row],[KEYNOTE '#]],1),"")</f>
        <v/>
      </c>
      <c r="AG93" s="50">
        <v>91</v>
      </c>
      <c r="AH93" s="50" t="str">
        <f>IF(COUNTIF(Database[[#This Row],[BASE]:[INT. OTHER]],"g"),"INTERIOR",IF(COUNTIF(Database[[#This Row],[ROOF]:[EXT. OTHER]],"n"),"EXTERIOR",Database[[#This Row],[DIVISION '#]]))</f>
        <v>INTERIOR</v>
      </c>
      <c r="AI93" s="50" t="str">
        <f>IF(OR(Database[[#This Row],[KEYTIER1]]="INTERIOR",Database[[#This Row],[KEYTIER1]]="EXTERIOR"),"",Database[[#This Row],[DIVISION NAME]])</f>
        <v/>
      </c>
      <c r="AJ93" s="50" t="str">
        <f>IF(Database[[#This Row],[KEYTIER1]]="INTERIOR","INT",IF(Database[[#This Row],[KEYTIER1]]="EXTERIOR","EXT",Database[[#This Row],[SECTION '#]]))</f>
        <v>INT</v>
      </c>
      <c r="AK93" s="50" t="str">
        <f>IF(OR(Database[[#This Row],[KEYTIER2]]="INT",Database[[#This Row],[KEYTIER2]]="EXT"),"",IF(Database[[#This Row],[SECTION NAME]]="","",Database[[#This Row],[SECTION NAME]]))</f>
        <v/>
      </c>
    </row>
    <row r="94" spans="2:37" ht="29" x14ac:dyDescent="0.35">
      <c r="B94" s="50" t="s">
        <v>36</v>
      </c>
      <c r="C94" s="50">
        <v>9</v>
      </c>
      <c r="D94" s="50" t="s">
        <v>67</v>
      </c>
      <c r="E94" s="50">
        <v>97723</v>
      </c>
      <c r="F94" s="53" t="s">
        <v>421</v>
      </c>
      <c r="G94" s="72" t="s">
        <v>422</v>
      </c>
      <c r="H94" s="53" t="s">
        <v>423</v>
      </c>
      <c r="I94" s="64"/>
      <c r="J94" s="52" t="s">
        <v>38</v>
      </c>
      <c r="K94" s="52"/>
      <c r="L94" s="52"/>
      <c r="M94" s="52"/>
      <c r="N94" s="54"/>
      <c r="O94" s="66"/>
      <c r="P94" s="51"/>
      <c r="Q94" s="51"/>
      <c r="R94" s="51"/>
      <c r="S94" s="51"/>
      <c r="T94" s="55"/>
      <c r="U94" s="69"/>
      <c r="V94" s="50"/>
      <c r="W94" s="50"/>
      <c r="X94" s="50"/>
      <c r="Y94" s="50"/>
      <c r="Z94" s="50"/>
      <c r="AA94" s="50"/>
      <c r="AB94" s="50"/>
      <c r="AC94" s="50">
        <f>IF(COUNTIF($C$3:C94,C94)=1,1,IF(COUNTIF($E$3:E94,E94)=1,2,0))</f>
        <v>2</v>
      </c>
      <c r="AD94" s="50" t="str">
        <f>IF(ISNUMBER(SEARCH("-",Database[[#This Row],[KEYNOTE '#]])),LEFT(Database[[#This Row],[KEYNOTE '#]],FIND("-",Database[[#This Row],[KEYNOTE '#]])-1),Database[[#This Row],[KEYNOTE '#]])</f>
        <v>FWP</v>
      </c>
      <c r="AE9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4" s="50" t="str">
        <f>IF(AND(ISNUMBER(SEARCH("-",Database[[#This Row],[KEYNOTE '#]]))=TRUE,ISNUMBER(--RIGHT(Database[[#This Row],[KEYNOTE '#]]))=FALSE),RIGHT(Database[[#This Row],[KEYNOTE '#]],1),"")</f>
        <v/>
      </c>
      <c r="AG94" s="50">
        <v>92</v>
      </c>
      <c r="AH94" s="50" t="str">
        <f>IF(COUNTIF(Database[[#This Row],[BASE]:[INT. OTHER]],"g"),"INTERIOR",IF(COUNTIF(Database[[#This Row],[ROOF]:[EXT. OTHER]],"n"),"EXTERIOR",Database[[#This Row],[DIVISION '#]]))</f>
        <v>INTERIOR</v>
      </c>
      <c r="AI94" s="50" t="str">
        <f>IF(OR(Database[[#This Row],[KEYTIER1]]="INTERIOR",Database[[#This Row],[KEYTIER1]]="EXTERIOR"),"",Database[[#This Row],[DIVISION NAME]])</f>
        <v/>
      </c>
      <c r="AJ94" s="50" t="str">
        <f>IF(Database[[#This Row],[KEYTIER1]]="INTERIOR","INT",IF(Database[[#This Row],[KEYTIER1]]="EXTERIOR","EXT",Database[[#This Row],[SECTION '#]]))</f>
        <v>INT</v>
      </c>
      <c r="AK94" s="50" t="str">
        <f>IF(OR(Database[[#This Row],[KEYTIER2]]="INT",Database[[#This Row],[KEYTIER2]]="EXT"),"",IF(Database[[#This Row],[SECTION NAME]]="","",Database[[#This Row],[SECTION NAME]]))</f>
        <v/>
      </c>
    </row>
    <row r="95" spans="2:37" ht="29" x14ac:dyDescent="0.35">
      <c r="B95" s="50" t="s">
        <v>36</v>
      </c>
      <c r="C95" s="50">
        <v>9</v>
      </c>
      <c r="D95" s="50" t="s">
        <v>67</v>
      </c>
      <c r="E95" s="50">
        <v>98000</v>
      </c>
      <c r="F95" s="53" t="s">
        <v>424</v>
      </c>
      <c r="G95" s="72" t="s">
        <v>425</v>
      </c>
      <c r="H95" s="53" t="s">
        <v>426</v>
      </c>
      <c r="I95" s="64"/>
      <c r="J95" s="52"/>
      <c r="K95" s="52" t="s">
        <v>38</v>
      </c>
      <c r="L95" s="52"/>
      <c r="M95" s="52"/>
      <c r="N95" s="54"/>
      <c r="O95" s="66"/>
      <c r="P95" s="51"/>
      <c r="Q95" s="51"/>
      <c r="R95" s="51"/>
      <c r="S95" s="51"/>
      <c r="T95" s="55"/>
      <c r="U95" s="69"/>
      <c r="V95" s="50"/>
      <c r="W95" s="50"/>
      <c r="X95" s="50"/>
      <c r="Y95" s="50"/>
      <c r="Z95" s="50"/>
      <c r="AA95" s="50"/>
      <c r="AB95" s="50"/>
      <c r="AC95" s="50">
        <f>IF(COUNTIF($C$3:C95,C95)=1,1,IF(COUNTIF($E$3:E95,E95)=1,2,0))</f>
        <v>2</v>
      </c>
      <c r="AD95" s="50" t="str">
        <f>IF(ISNUMBER(SEARCH("-",Database[[#This Row],[KEYNOTE '#]])),LEFT(Database[[#This Row],[KEYNOTE '#]],FIND("-",Database[[#This Row],[KEYNOTE '#]])-1),Database[[#This Row],[KEYNOTE '#]])</f>
        <v>AT</v>
      </c>
      <c r="AE9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5" s="50" t="str">
        <f>IF(AND(ISNUMBER(SEARCH("-",Database[[#This Row],[KEYNOTE '#]]))=TRUE,ISNUMBER(--RIGHT(Database[[#This Row],[KEYNOTE '#]]))=FALSE),RIGHT(Database[[#This Row],[KEYNOTE '#]],1),"")</f>
        <v/>
      </c>
      <c r="AG95" s="50">
        <v>93</v>
      </c>
      <c r="AH95" s="50" t="str">
        <f>IF(COUNTIF(Database[[#This Row],[BASE]:[INT. OTHER]],"g"),"INTERIOR",IF(COUNTIF(Database[[#This Row],[ROOF]:[EXT. OTHER]],"n"),"EXTERIOR",Database[[#This Row],[DIVISION '#]]))</f>
        <v>INTERIOR</v>
      </c>
      <c r="AI95" s="50" t="str">
        <f>IF(OR(Database[[#This Row],[KEYTIER1]]="INTERIOR",Database[[#This Row],[KEYTIER1]]="EXTERIOR"),"",Database[[#This Row],[DIVISION NAME]])</f>
        <v/>
      </c>
      <c r="AJ95" s="50" t="str">
        <f>IF(Database[[#This Row],[KEYTIER1]]="INTERIOR","INT",IF(Database[[#This Row],[KEYTIER1]]="EXTERIOR","EXT",Database[[#This Row],[SECTION '#]]))</f>
        <v>INT</v>
      </c>
      <c r="AK95" s="50" t="str">
        <f>IF(OR(Database[[#This Row],[KEYTIER2]]="INT",Database[[#This Row],[KEYTIER2]]="EXT"),"",IF(Database[[#This Row],[SECTION NAME]]="","",Database[[#This Row],[SECTION NAME]]))</f>
        <v/>
      </c>
    </row>
    <row r="96" spans="2:37" ht="29" x14ac:dyDescent="0.35">
      <c r="B96" s="50" t="s">
        <v>36</v>
      </c>
      <c r="C96" s="50">
        <v>9</v>
      </c>
      <c r="D96" s="50" t="s">
        <v>67</v>
      </c>
      <c r="E96" s="50">
        <v>98316</v>
      </c>
      <c r="F96" s="53" t="s">
        <v>568</v>
      </c>
      <c r="G96" s="72" t="s">
        <v>554</v>
      </c>
      <c r="H96" s="53" t="s">
        <v>567</v>
      </c>
      <c r="I96" s="64"/>
      <c r="J96" s="52"/>
      <c r="K96" s="52" t="s">
        <v>38</v>
      </c>
      <c r="L96" s="52"/>
      <c r="M96" s="52"/>
      <c r="N96" s="54"/>
      <c r="O96" s="66"/>
      <c r="P96" s="51"/>
      <c r="Q96" s="51"/>
      <c r="R96" s="51"/>
      <c r="S96" s="51"/>
      <c r="T96" s="55"/>
      <c r="U96" s="69"/>
      <c r="V96" s="50"/>
      <c r="W96" s="50"/>
      <c r="X96" s="50"/>
      <c r="Y96" s="50"/>
      <c r="Z96" s="50"/>
      <c r="AA96" s="50"/>
      <c r="AB96" s="50"/>
      <c r="AC96" s="50">
        <f>IF(COUNTIF($C$3:C96,C96)=1,1,IF(COUNTIF($E$3:E96,E96)=1,2,0))</f>
        <v>2</v>
      </c>
      <c r="AD96" s="50" t="str">
        <f>IF(ISNUMBER(SEARCH("-",Database[[#This Row],[KEYNOTE '#]])),LEFT(Database[[#This Row],[KEYNOTE '#]],FIND("-",Database[[#This Row],[KEYNOTE '#]])-1),Database[[#This Row],[KEYNOTE '#]])</f>
        <v>SAT</v>
      </c>
      <c r="AE9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6" s="50" t="str">
        <f>IF(AND(ISNUMBER(SEARCH("-",Database[[#This Row],[KEYNOTE '#]]))=TRUE,ISNUMBER(--RIGHT(Database[[#This Row],[KEYNOTE '#]]))=FALSE),RIGHT(Database[[#This Row],[KEYNOTE '#]],1),"")</f>
        <v/>
      </c>
      <c r="AG96" s="50">
        <v>94</v>
      </c>
      <c r="AH96" s="50" t="str">
        <f>IF(COUNTIF(Database[[#This Row],[BASE]:[INT. OTHER]],"g"),"INTERIOR",IF(COUNTIF(Database[[#This Row],[ROOF]:[EXT. OTHER]],"n"),"EXTERIOR",Database[[#This Row],[DIVISION '#]]))</f>
        <v>INTERIOR</v>
      </c>
      <c r="AI96" s="50" t="str">
        <f>IF(OR(Database[[#This Row],[KEYTIER1]]="INTERIOR",Database[[#This Row],[KEYTIER1]]="EXTERIOR"),"",Database[[#This Row],[DIVISION NAME]])</f>
        <v/>
      </c>
      <c r="AJ96" s="50" t="str">
        <f>IF(Database[[#This Row],[KEYTIER1]]="INTERIOR","INT",IF(Database[[#This Row],[KEYTIER1]]="EXTERIOR","EXT",Database[[#This Row],[SECTION '#]]))</f>
        <v>INT</v>
      </c>
      <c r="AK96" s="50" t="str">
        <f>IF(OR(Database[[#This Row],[KEYTIER2]]="INT",Database[[#This Row],[KEYTIER2]]="EXT"),"",IF(Database[[#This Row],[SECTION NAME]]="","",Database[[#This Row],[SECTION NAME]]))</f>
        <v/>
      </c>
    </row>
    <row r="97" spans="2:37" ht="29" x14ac:dyDescent="0.35">
      <c r="B97" s="50" t="s">
        <v>36</v>
      </c>
      <c r="C97" s="50">
        <v>9</v>
      </c>
      <c r="D97" s="50" t="s">
        <v>67</v>
      </c>
      <c r="E97" s="50">
        <v>98443</v>
      </c>
      <c r="F97" s="53" t="s">
        <v>427</v>
      </c>
      <c r="G97" s="72" t="s">
        <v>428</v>
      </c>
      <c r="H97" s="53" t="s">
        <v>429</v>
      </c>
      <c r="I97" s="64"/>
      <c r="J97" s="52"/>
      <c r="K97" s="52" t="s">
        <v>38</v>
      </c>
      <c r="L97" s="52"/>
      <c r="M97" s="52"/>
      <c r="N97" s="54"/>
      <c r="O97" s="66"/>
      <c r="P97" s="51"/>
      <c r="Q97" s="51"/>
      <c r="R97" s="51"/>
      <c r="S97" s="51"/>
      <c r="T97" s="55"/>
      <c r="U97" s="69"/>
      <c r="V97" s="50"/>
      <c r="W97" s="50"/>
      <c r="X97" s="50"/>
      <c r="Y97" s="50"/>
      <c r="Z97" s="50"/>
      <c r="AA97" s="50"/>
      <c r="AB97" s="50"/>
      <c r="AC97" s="50">
        <f>IF(COUNTIF($C$3:C97,C97)=1,1,IF(COUNTIF($E$3:E97,E97)=1,2,0))</f>
        <v>2</v>
      </c>
      <c r="AD97" s="50" t="str">
        <f>IF(ISNUMBER(SEARCH("-",Database[[#This Row],[KEYNOTE '#]])),LEFT(Database[[#This Row],[KEYNOTE '#]],FIND("-",Database[[#This Row],[KEYNOTE '#]])-1),Database[[#This Row],[KEYNOTE '#]])</f>
        <v>WG</v>
      </c>
      <c r="AE9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7" s="50" t="str">
        <f>IF(AND(ISNUMBER(SEARCH("-",Database[[#This Row],[KEYNOTE '#]]))=TRUE,ISNUMBER(--RIGHT(Database[[#This Row],[KEYNOTE '#]]))=FALSE),RIGHT(Database[[#This Row],[KEYNOTE '#]],1),"")</f>
        <v/>
      </c>
      <c r="AG97" s="50">
        <v>95</v>
      </c>
      <c r="AH97" s="50" t="str">
        <f>IF(COUNTIF(Database[[#This Row],[BASE]:[INT. OTHER]],"g"),"INTERIOR",IF(COUNTIF(Database[[#This Row],[ROOF]:[EXT. OTHER]],"n"),"EXTERIOR",Database[[#This Row],[DIVISION '#]]))</f>
        <v>INTERIOR</v>
      </c>
      <c r="AI97" s="50" t="str">
        <f>IF(OR(Database[[#This Row],[KEYTIER1]]="INTERIOR",Database[[#This Row],[KEYTIER1]]="EXTERIOR"),"",Database[[#This Row],[DIVISION NAME]])</f>
        <v/>
      </c>
      <c r="AJ97" s="50" t="str">
        <f>IF(Database[[#This Row],[KEYTIER1]]="INTERIOR","INT",IF(Database[[#This Row],[KEYTIER1]]="EXTERIOR","EXT",Database[[#This Row],[SECTION '#]]))</f>
        <v>INT</v>
      </c>
      <c r="AK97" s="50" t="str">
        <f>IF(OR(Database[[#This Row],[KEYTIER2]]="INT",Database[[#This Row],[KEYTIER2]]="EXT"),"",IF(Database[[#This Row],[SECTION NAME]]="","",Database[[#This Row],[SECTION NAME]]))</f>
        <v/>
      </c>
    </row>
    <row r="98" spans="2:37" ht="29" x14ac:dyDescent="0.35">
      <c r="B98" s="50" t="s">
        <v>36</v>
      </c>
      <c r="C98" s="50">
        <v>9</v>
      </c>
      <c r="D98" s="50" t="s">
        <v>67</v>
      </c>
      <c r="E98" s="50">
        <v>99100</v>
      </c>
      <c r="F98" s="53" t="s">
        <v>430</v>
      </c>
      <c r="G98" s="72" t="s">
        <v>431</v>
      </c>
      <c r="H98" s="53" t="s">
        <v>432</v>
      </c>
      <c r="I98" s="64"/>
      <c r="J98" s="52" t="s">
        <v>38</v>
      </c>
      <c r="K98" s="52"/>
      <c r="L98" s="52"/>
      <c r="M98" s="52"/>
      <c r="N98" s="54"/>
      <c r="O98" s="66"/>
      <c r="P98" s="51"/>
      <c r="Q98" s="51"/>
      <c r="R98" s="51"/>
      <c r="S98" s="51"/>
      <c r="T98" s="55"/>
      <c r="U98" s="69"/>
      <c r="V98" s="50"/>
      <c r="W98" s="50"/>
      <c r="X98" s="50"/>
      <c r="Y98" s="50"/>
      <c r="Z98" s="50"/>
      <c r="AA98" s="50"/>
      <c r="AB98" s="50"/>
      <c r="AC98" s="50">
        <f>IF(COUNTIF($C$3:C98,C98)=1,1,IF(COUNTIF($E$3:E98,E98)=1,2,0))</f>
        <v>2</v>
      </c>
      <c r="AD98" s="50" t="str">
        <f>IF(ISNUMBER(SEARCH("-",Database[[#This Row],[KEYNOTE '#]])),LEFT(Database[[#This Row],[KEYNOTE '#]],FIND("-",Database[[#This Row],[KEYNOTE '#]])-1),Database[[#This Row],[KEYNOTE '#]])</f>
        <v>PT</v>
      </c>
      <c r="AE9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8" s="50" t="str">
        <f>IF(AND(ISNUMBER(SEARCH("-",Database[[#This Row],[KEYNOTE '#]]))=TRUE,ISNUMBER(--RIGHT(Database[[#This Row],[KEYNOTE '#]]))=FALSE),RIGHT(Database[[#This Row],[KEYNOTE '#]],1),"")</f>
        <v/>
      </c>
      <c r="AG98" s="50">
        <v>96</v>
      </c>
      <c r="AH98" s="50" t="str">
        <f>IF(COUNTIF(Database[[#This Row],[BASE]:[INT. OTHER]],"g"),"INTERIOR",IF(COUNTIF(Database[[#This Row],[ROOF]:[EXT. OTHER]],"n"),"EXTERIOR",Database[[#This Row],[DIVISION '#]]))</f>
        <v>INTERIOR</v>
      </c>
      <c r="AI98" s="50" t="str">
        <f>IF(OR(Database[[#This Row],[KEYTIER1]]="INTERIOR",Database[[#This Row],[KEYTIER1]]="EXTERIOR"),"",Database[[#This Row],[DIVISION NAME]])</f>
        <v/>
      </c>
      <c r="AJ98" s="50" t="str">
        <f>IF(Database[[#This Row],[KEYTIER1]]="INTERIOR","INT",IF(Database[[#This Row],[KEYTIER1]]="EXTERIOR","EXT",Database[[#This Row],[SECTION '#]]))</f>
        <v>INT</v>
      </c>
      <c r="AK98" s="50" t="str">
        <f>IF(OR(Database[[#This Row],[KEYTIER2]]="INT",Database[[#This Row],[KEYTIER2]]="EXT"),"",IF(Database[[#This Row],[SECTION NAME]]="","",Database[[#This Row],[SECTION NAME]]))</f>
        <v/>
      </c>
    </row>
    <row r="99" spans="2:37" ht="29" x14ac:dyDescent="0.35">
      <c r="B99" s="50" t="s">
        <v>36</v>
      </c>
      <c r="C99" s="50">
        <v>9</v>
      </c>
      <c r="D99" s="50" t="s">
        <v>67</v>
      </c>
      <c r="E99" s="50">
        <v>99300</v>
      </c>
      <c r="F99" s="53" t="s">
        <v>433</v>
      </c>
      <c r="G99" s="72" t="s">
        <v>434</v>
      </c>
      <c r="H99" s="53" t="s">
        <v>435</v>
      </c>
      <c r="I99" s="64"/>
      <c r="J99" s="52"/>
      <c r="K99" s="52"/>
      <c r="L99" s="52"/>
      <c r="M99" s="52"/>
      <c r="N99" s="54" t="s">
        <v>38</v>
      </c>
      <c r="O99" s="66"/>
      <c r="P99" s="51"/>
      <c r="Q99" s="51"/>
      <c r="R99" s="51"/>
      <c r="S99" s="51"/>
      <c r="T99" s="55"/>
      <c r="U99" s="69"/>
      <c r="V99" s="50"/>
      <c r="W99" s="50"/>
      <c r="X99" s="50"/>
      <c r="Y99" s="50"/>
      <c r="Z99" s="50"/>
      <c r="AA99" s="50"/>
      <c r="AB99" s="50"/>
      <c r="AC99" s="50">
        <f>IF(COUNTIF($C$3:C99,C99)=1,1,IF(COUNTIF($E$3:E99,E99)=1,2,0))</f>
        <v>2</v>
      </c>
      <c r="AD99" s="50" t="str">
        <f>IF(ISNUMBER(SEARCH("-",Database[[#This Row],[KEYNOTE '#]])),LEFT(Database[[#This Row],[KEYNOTE '#]],FIND("-",Database[[#This Row],[KEYNOTE '#]])-1),Database[[#This Row],[KEYNOTE '#]])</f>
        <v>SF</v>
      </c>
      <c r="AE9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9" s="50" t="str">
        <f>IF(AND(ISNUMBER(SEARCH("-",Database[[#This Row],[KEYNOTE '#]]))=TRUE,ISNUMBER(--RIGHT(Database[[#This Row],[KEYNOTE '#]]))=FALSE),RIGHT(Database[[#This Row],[KEYNOTE '#]],1),"")</f>
        <v/>
      </c>
      <c r="AG99" s="50">
        <v>97</v>
      </c>
      <c r="AH99" s="50" t="str">
        <f>IF(COUNTIF(Database[[#This Row],[BASE]:[INT. OTHER]],"g"),"INTERIOR",IF(COUNTIF(Database[[#This Row],[ROOF]:[EXT. OTHER]],"n"),"EXTERIOR",Database[[#This Row],[DIVISION '#]]))</f>
        <v>INTERIOR</v>
      </c>
      <c r="AI99" s="50" t="str">
        <f>IF(OR(Database[[#This Row],[KEYTIER1]]="INTERIOR",Database[[#This Row],[KEYTIER1]]="EXTERIOR"),"",Database[[#This Row],[DIVISION NAME]])</f>
        <v/>
      </c>
      <c r="AJ99" s="50" t="str">
        <f>IF(Database[[#This Row],[KEYTIER1]]="INTERIOR","INT",IF(Database[[#This Row],[KEYTIER1]]="EXTERIOR","EXT",Database[[#This Row],[SECTION '#]]))</f>
        <v>INT</v>
      </c>
      <c r="AK99" s="50" t="str">
        <f>IF(OR(Database[[#This Row],[KEYTIER2]]="INT",Database[[#This Row],[KEYTIER2]]="EXT"),"",IF(Database[[#This Row],[SECTION NAME]]="","",Database[[#This Row],[SECTION NAME]]))</f>
        <v/>
      </c>
    </row>
    <row r="100" spans="2:37" ht="29" x14ac:dyDescent="0.35">
      <c r="B100" s="50" t="s">
        <v>36</v>
      </c>
      <c r="C100" s="50">
        <v>9</v>
      </c>
      <c r="D100" s="50" t="s">
        <v>67</v>
      </c>
      <c r="E100" s="50">
        <v>99600</v>
      </c>
      <c r="F100" s="53" t="s">
        <v>436</v>
      </c>
      <c r="G100" s="72" t="s">
        <v>437</v>
      </c>
      <c r="H100" s="53" t="s">
        <v>438</v>
      </c>
      <c r="I100" s="64"/>
      <c r="J100" s="52"/>
      <c r="K100" s="52"/>
      <c r="L100" s="52"/>
      <c r="M100" s="52"/>
      <c r="N100" s="54" t="s">
        <v>38</v>
      </c>
      <c r="O100" s="66"/>
      <c r="P100" s="51"/>
      <c r="Q100" s="51"/>
      <c r="R100" s="51"/>
      <c r="S100" s="51"/>
      <c r="T100" s="55"/>
      <c r="U100" s="69"/>
      <c r="V100" s="50"/>
      <c r="W100" s="50"/>
      <c r="X100" s="50"/>
      <c r="Y100" s="50"/>
      <c r="Z100" s="50"/>
      <c r="AA100" s="50"/>
      <c r="AB100" s="50"/>
      <c r="AC100" s="50">
        <f>IF(COUNTIF($C$3:C100,C100)=1,1,IF(COUNTIF($E$3:E100,E100)=1,2,0))</f>
        <v>2</v>
      </c>
      <c r="AD100" s="50" t="str">
        <f>IF(ISNUMBER(SEARCH("-",Database[[#This Row],[KEYNOTE '#]])),LEFT(Database[[#This Row],[KEYNOTE '#]],FIND("-",Database[[#This Row],[KEYNOTE '#]])-1),Database[[#This Row],[KEYNOTE '#]])</f>
        <v>CTG</v>
      </c>
      <c r="AE10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0" s="50" t="str">
        <f>IF(AND(ISNUMBER(SEARCH("-",Database[[#This Row],[KEYNOTE '#]]))=TRUE,ISNUMBER(--RIGHT(Database[[#This Row],[KEYNOTE '#]]))=FALSE),RIGHT(Database[[#This Row],[KEYNOTE '#]],1),"")</f>
        <v/>
      </c>
      <c r="AG100" s="50">
        <v>98</v>
      </c>
      <c r="AH100" s="50" t="str">
        <f>IF(COUNTIF(Database[[#This Row],[BASE]:[INT. OTHER]],"g"),"INTERIOR",IF(COUNTIF(Database[[#This Row],[ROOF]:[EXT. OTHER]],"n"),"EXTERIOR",Database[[#This Row],[DIVISION '#]]))</f>
        <v>INTERIOR</v>
      </c>
      <c r="AI100" s="50" t="str">
        <f>IF(OR(Database[[#This Row],[KEYTIER1]]="INTERIOR",Database[[#This Row],[KEYTIER1]]="EXTERIOR"),"",Database[[#This Row],[DIVISION NAME]])</f>
        <v/>
      </c>
      <c r="AJ100" s="50" t="str">
        <f>IF(Database[[#This Row],[KEYTIER1]]="INTERIOR","INT",IF(Database[[#This Row],[KEYTIER1]]="EXTERIOR","EXT",Database[[#This Row],[SECTION '#]]))</f>
        <v>INT</v>
      </c>
      <c r="AK100" s="50" t="str">
        <f>IF(OR(Database[[#This Row],[KEYTIER2]]="INT",Database[[#This Row],[KEYTIER2]]="EXT"),"",IF(Database[[#This Row],[SECTION NAME]]="","",Database[[#This Row],[SECTION NAME]]))</f>
        <v/>
      </c>
    </row>
    <row r="101" spans="2:37" ht="58" x14ac:dyDescent="0.35">
      <c r="B101" s="50" t="s">
        <v>36</v>
      </c>
      <c r="C101" s="50">
        <v>10</v>
      </c>
      <c r="D101" s="50" t="s">
        <v>69</v>
      </c>
      <c r="E101" s="50">
        <v>101123</v>
      </c>
      <c r="F101" s="53" t="s">
        <v>439</v>
      </c>
      <c r="G101" s="72" t="s">
        <v>440</v>
      </c>
      <c r="H101" s="53" t="s">
        <v>441</v>
      </c>
      <c r="I101" s="64"/>
      <c r="J101" s="52"/>
      <c r="K101" s="52"/>
      <c r="L101" s="52"/>
      <c r="M101" s="52"/>
      <c r="N101" s="54"/>
      <c r="O101" s="66"/>
      <c r="P101" s="51"/>
      <c r="Q101" s="51"/>
      <c r="R101" s="51"/>
      <c r="S101" s="51"/>
      <c r="T101" s="55"/>
      <c r="U101" s="69"/>
      <c r="V101" s="50"/>
      <c r="W101" s="50"/>
      <c r="X101" s="50"/>
      <c r="Y101" s="50"/>
      <c r="Z101" s="50"/>
      <c r="AA101" s="50"/>
      <c r="AB101" s="50"/>
      <c r="AC101" s="50">
        <f>IF(COUNTIF($C$3:C101,C101)=1,1,IF(COUNTIF($E$3:E101,E101)=1,2,0))</f>
        <v>1</v>
      </c>
      <c r="AD101" s="50" t="str">
        <f>IF(ISNUMBER(SEARCH("-",Database[[#This Row],[KEYNOTE '#]])),LEFT(Database[[#This Row],[KEYNOTE '#]],FIND("-",Database[[#This Row],[KEYNOTE '#]])-1),Database[[#This Row],[KEYNOTE '#]])</f>
        <v>MB</v>
      </c>
      <c r="AE10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1" s="50" t="str">
        <f>IF(AND(ISNUMBER(SEARCH("-",Database[[#This Row],[KEYNOTE '#]]))=TRUE,ISNUMBER(--RIGHT(Database[[#This Row],[KEYNOTE '#]]))=FALSE),RIGHT(Database[[#This Row],[KEYNOTE '#]],1),"")</f>
        <v/>
      </c>
      <c r="AG101" s="50">
        <v>99</v>
      </c>
      <c r="AH101" s="50">
        <f>IF(COUNTIF(Database[[#This Row],[BASE]:[INT. OTHER]],"g"),"INTERIOR",IF(COUNTIF(Database[[#This Row],[ROOF]:[EXT. OTHER]],"n"),"EXTERIOR",Database[[#This Row],[DIVISION '#]]))</f>
        <v>10</v>
      </c>
      <c r="AI101" s="50" t="str">
        <f>IF(OR(Database[[#This Row],[KEYTIER1]]="INTERIOR",Database[[#This Row],[KEYTIER1]]="EXTERIOR"),"",Database[[#This Row],[DIVISION NAME]])</f>
        <v>DIVISION 10 - SPECIALTIES</v>
      </c>
      <c r="AJ101" s="50">
        <f>IF(Database[[#This Row],[KEYTIER1]]="INTERIOR","INT",IF(Database[[#This Row],[KEYTIER1]]="EXTERIOR","EXT",Database[[#This Row],[SECTION '#]]))</f>
        <v>101123</v>
      </c>
      <c r="AK101" s="50" t="str">
        <f>IF(OR(Database[[#This Row],[KEYTIER2]]="INT",Database[[#This Row],[KEYTIER2]]="EXT"),"",IF(Database[[#This Row],[SECTION NAME]]="","",Database[[#This Row],[SECTION NAME]]))</f>
        <v>SECTION 101123 - TACKBOARDS</v>
      </c>
    </row>
    <row r="102" spans="2:37" ht="58" x14ac:dyDescent="0.35">
      <c r="B102" s="50" t="s">
        <v>36</v>
      </c>
      <c r="C102" s="50">
        <v>10</v>
      </c>
      <c r="D102" s="50" t="s">
        <v>69</v>
      </c>
      <c r="E102" s="50">
        <v>101123</v>
      </c>
      <c r="F102" s="53" t="s">
        <v>439</v>
      </c>
      <c r="G102" s="72" t="s">
        <v>442</v>
      </c>
      <c r="H102" s="53" t="s">
        <v>443</v>
      </c>
      <c r="I102" s="64"/>
      <c r="J102" s="52"/>
      <c r="K102" s="52"/>
      <c r="L102" s="52"/>
      <c r="M102" s="52"/>
      <c r="N102" s="54"/>
      <c r="O102" s="66"/>
      <c r="P102" s="51"/>
      <c r="Q102" s="51"/>
      <c r="R102" s="51"/>
      <c r="S102" s="51"/>
      <c r="T102" s="55"/>
      <c r="U102" s="69"/>
      <c r="V102" s="50"/>
      <c r="W102" s="50"/>
      <c r="X102" s="50"/>
      <c r="Y102" s="50"/>
      <c r="Z102" s="50"/>
      <c r="AA102" s="50"/>
      <c r="AB102" s="50"/>
      <c r="AC102" s="50">
        <f>IF(COUNTIF($C$3:C102,C102)=1,1,IF(COUNTIF($E$3:E102,E102)=1,2,0))</f>
        <v>0</v>
      </c>
      <c r="AD102" s="50" t="str">
        <f>IF(ISNUMBER(SEARCH("-",Database[[#This Row],[KEYNOTE '#]])),LEFT(Database[[#This Row],[KEYNOTE '#]],FIND("-",Database[[#This Row],[KEYNOTE '#]])-1),Database[[#This Row],[KEYNOTE '#]])</f>
        <v>MBP</v>
      </c>
      <c r="AE10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2" s="50" t="str">
        <f>IF(AND(ISNUMBER(SEARCH("-",Database[[#This Row],[KEYNOTE '#]]))=TRUE,ISNUMBER(--RIGHT(Database[[#This Row],[KEYNOTE '#]]))=FALSE),RIGHT(Database[[#This Row],[KEYNOTE '#]],1),"")</f>
        <v/>
      </c>
      <c r="AG102" s="50">
        <v>100</v>
      </c>
      <c r="AH102" s="50">
        <f>IF(COUNTIF(Database[[#This Row],[BASE]:[INT. OTHER]],"g"),"INTERIOR",IF(COUNTIF(Database[[#This Row],[ROOF]:[EXT. OTHER]],"n"),"EXTERIOR",Database[[#This Row],[DIVISION '#]]))</f>
        <v>10</v>
      </c>
      <c r="AI102" s="50" t="str">
        <f>IF(OR(Database[[#This Row],[KEYTIER1]]="INTERIOR",Database[[#This Row],[KEYTIER1]]="EXTERIOR"),"",Database[[#This Row],[DIVISION NAME]])</f>
        <v>DIVISION 10 - SPECIALTIES</v>
      </c>
      <c r="AJ102" s="50">
        <f>IF(Database[[#This Row],[KEYTIER1]]="INTERIOR","INT",IF(Database[[#This Row],[KEYTIER1]]="EXTERIOR","EXT",Database[[#This Row],[SECTION '#]]))</f>
        <v>101123</v>
      </c>
      <c r="AK102" s="50" t="str">
        <f>IF(OR(Database[[#This Row],[KEYTIER2]]="INT",Database[[#This Row],[KEYTIER2]]="EXT"),"",IF(Database[[#This Row],[SECTION NAME]]="","",Database[[#This Row],[SECTION NAME]]))</f>
        <v>SECTION 101123 - TACKBOARDS</v>
      </c>
    </row>
    <row r="103" spans="2:37" ht="58" x14ac:dyDescent="0.35">
      <c r="B103" s="50" t="s">
        <v>36</v>
      </c>
      <c r="C103" s="50">
        <v>10</v>
      </c>
      <c r="D103" s="50" t="s">
        <v>69</v>
      </c>
      <c r="E103" s="50">
        <v>101123</v>
      </c>
      <c r="F103" s="53" t="s">
        <v>439</v>
      </c>
      <c r="G103" s="72" t="s">
        <v>444</v>
      </c>
      <c r="H103" s="53" t="s">
        <v>445</v>
      </c>
      <c r="I103" s="64"/>
      <c r="J103" s="52"/>
      <c r="K103" s="52"/>
      <c r="L103" s="52"/>
      <c r="M103" s="52"/>
      <c r="N103" s="54"/>
      <c r="O103" s="66"/>
      <c r="P103" s="51"/>
      <c r="Q103" s="51"/>
      <c r="R103" s="51"/>
      <c r="S103" s="51"/>
      <c r="T103" s="55"/>
      <c r="U103" s="69"/>
      <c r="V103" s="50"/>
      <c r="W103" s="50"/>
      <c r="X103" s="50"/>
      <c r="Y103" s="50"/>
      <c r="Z103" s="50"/>
      <c r="AA103" s="50"/>
      <c r="AB103" s="50"/>
      <c r="AC103" s="50">
        <f>IF(COUNTIF($C$3:C103,C103)=1,1,IF(COUNTIF($E$3:E103,E103)=1,2,0))</f>
        <v>0</v>
      </c>
      <c r="AD103" s="50" t="str">
        <f>IF(ISNUMBER(SEARCH("-",Database[[#This Row],[KEYNOTE '#]])),LEFT(Database[[#This Row],[KEYNOTE '#]],FIND("-",Database[[#This Row],[KEYNOTE '#]])-1),Database[[#This Row],[KEYNOTE '#]])</f>
        <v>TB</v>
      </c>
      <c r="AE10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3" s="50" t="str">
        <f>IF(AND(ISNUMBER(SEARCH("-",Database[[#This Row],[KEYNOTE '#]]))=TRUE,ISNUMBER(--RIGHT(Database[[#This Row],[KEYNOTE '#]]))=FALSE),RIGHT(Database[[#This Row],[KEYNOTE '#]],1),"")</f>
        <v/>
      </c>
      <c r="AG103" s="50">
        <v>101</v>
      </c>
      <c r="AH103" s="50">
        <f>IF(COUNTIF(Database[[#This Row],[BASE]:[INT. OTHER]],"g"),"INTERIOR",IF(COUNTIF(Database[[#This Row],[ROOF]:[EXT. OTHER]],"n"),"EXTERIOR",Database[[#This Row],[DIVISION '#]]))</f>
        <v>10</v>
      </c>
      <c r="AI103" s="50" t="str">
        <f>IF(OR(Database[[#This Row],[KEYTIER1]]="INTERIOR",Database[[#This Row],[KEYTIER1]]="EXTERIOR"),"",Database[[#This Row],[DIVISION NAME]])</f>
        <v>DIVISION 10 - SPECIALTIES</v>
      </c>
      <c r="AJ103" s="50">
        <f>IF(Database[[#This Row],[KEYTIER1]]="INTERIOR","INT",IF(Database[[#This Row],[KEYTIER1]]="EXTERIOR","EXT",Database[[#This Row],[SECTION '#]]))</f>
        <v>101123</v>
      </c>
      <c r="AK103" s="50" t="str">
        <f>IF(OR(Database[[#This Row],[KEYTIER2]]="INT",Database[[#This Row],[KEYTIER2]]="EXT"),"",IF(Database[[#This Row],[SECTION NAME]]="","",Database[[#This Row],[SECTION NAME]]))</f>
        <v>SECTION 101123 - TACKBOARDS</v>
      </c>
    </row>
    <row r="104" spans="2:37" ht="72.5" x14ac:dyDescent="0.35">
      <c r="B104" s="50" t="s">
        <v>36</v>
      </c>
      <c r="C104" s="50">
        <v>10</v>
      </c>
      <c r="D104" s="50" t="s">
        <v>69</v>
      </c>
      <c r="E104" s="50">
        <v>101423</v>
      </c>
      <c r="F104" s="53" t="s">
        <v>446</v>
      </c>
      <c r="G104" s="72" t="s">
        <v>447</v>
      </c>
      <c r="H104" s="53" t="s">
        <v>448</v>
      </c>
      <c r="I104" s="64"/>
      <c r="J104" s="52"/>
      <c r="K104" s="52"/>
      <c r="L104" s="52"/>
      <c r="M104" s="52"/>
      <c r="N104" s="54"/>
      <c r="O104" s="66"/>
      <c r="P104" s="51"/>
      <c r="Q104" s="51"/>
      <c r="R104" s="51"/>
      <c r="S104" s="51"/>
      <c r="T104" s="55"/>
      <c r="U104" s="69"/>
      <c r="V104" s="50"/>
      <c r="W104" s="50"/>
      <c r="X104" s="50"/>
      <c r="Y104" s="50"/>
      <c r="Z104" s="50"/>
      <c r="AA104" s="50"/>
      <c r="AB104" s="50"/>
      <c r="AC104" s="50">
        <f>IF(COUNTIF($C$3:C104,C104)=1,1,IF(COUNTIF($E$3:E104,E104)=1,2,0))</f>
        <v>2</v>
      </c>
      <c r="AD104" s="50" t="str">
        <f>IF(ISNUMBER(SEARCH("-",Database[[#This Row],[KEYNOTE '#]])),LEFT(Database[[#This Row],[KEYNOTE '#]],FIND("-",Database[[#This Row],[KEYNOTE '#]])-1),Database[[#This Row],[KEYNOTE '#]])</f>
        <v>PS</v>
      </c>
      <c r="AE10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4" s="50" t="str">
        <f>IF(AND(ISNUMBER(SEARCH("-",Database[[#This Row],[KEYNOTE '#]]))=TRUE,ISNUMBER(--RIGHT(Database[[#This Row],[KEYNOTE '#]]))=FALSE),RIGHT(Database[[#This Row],[KEYNOTE '#]],1),"")</f>
        <v/>
      </c>
      <c r="AG104" s="50">
        <v>102</v>
      </c>
      <c r="AH104" s="50">
        <f>IF(COUNTIF(Database[[#This Row],[BASE]:[INT. OTHER]],"g"),"INTERIOR",IF(COUNTIF(Database[[#This Row],[ROOF]:[EXT. OTHER]],"n"),"EXTERIOR",Database[[#This Row],[DIVISION '#]]))</f>
        <v>10</v>
      </c>
      <c r="AI104" s="50" t="str">
        <f>IF(OR(Database[[#This Row],[KEYTIER1]]="INTERIOR",Database[[#This Row],[KEYTIER1]]="EXTERIOR"),"",Database[[#This Row],[DIVISION NAME]])</f>
        <v>DIVISION 10 - SPECIALTIES</v>
      </c>
      <c r="AJ104" s="50">
        <f>IF(Database[[#This Row],[KEYTIER1]]="INTERIOR","INT",IF(Database[[#This Row],[KEYTIER1]]="EXTERIOR","EXT",Database[[#This Row],[SECTION '#]]))</f>
        <v>101423</v>
      </c>
      <c r="AK104" s="50" t="str">
        <f>IF(OR(Database[[#This Row],[KEYTIER2]]="INT",Database[[#This Row],[KEYTIER2]]="EXT"),"",IF(Database[[#This Row],[SECTION NAME]]="","",Database[[#This Row],[SECTION NAME]]))</f>
        <v>SECTION 101423 - PANEL SIGNAGE</v>
      </c>
    </row>
    <row r="105" spans="2:37" ht="72.5" x14ac:dyDescent="0.35">
      <c r="B105" s="50" t="s">
        <v>36</v>
      </c>
      <c r="C105" s="50">
        <v>10</v>
      </c>
      <c r="D105" s="50" t="s">
        <v>69</v>
      </c>
      <c r="E105" s="50">
        <v>102100</v>
      </c>
      <c r="F105" s="53" t="s">
        <v>449</v>
      </c>
      <c r="G105" s="72" t="s">
        <v>450</v>
      </c>
      <c r="H105" s="53" t="s">
        <v>451</v>
      </c>
      <c r="I105" s="64"/>
      <c r="J105" s="52"/>
      <c r="K105" s="52"/>
      <c r="L105" s="52"/>
      <c r="M105" s="52"/>
      <c r="N105" s="54"/>
      <c r="O105" s="66"/>
      <c r="P105" s="51"/>
      <c r="Q105" s="51"/>
      <c r="R105" s="51"/>
      <c r="S105" s="51"/>
      <c r="T105" s="55"/>
      <c r="U105" s="69"/>
      <c r="V105" s="50"/>
      <c r="W105" s="50"/>
      <c r="X105" s="50"/>
      <c r="Y105" s="50"/>
      <c r="Z105" s="50"/>
      <c r="AA105" s="50"/>
      <c r="AB105" s="50"/>
      <c r="AC105" s="50">
        <f>IF(COUNTIF($C$3:C105,C105)=1,1,IF(COUNTIF($E$3:E105,E105)=1,2,0))</f>
        <v>2</v>
      </c>
      <c r="AD105" s="50" t="str">
        <f>IF(ISNUMBER(SEARCH("-",Database[[#This Row],[KEYNOTE '#]])),LEFT(Database[[#This Row],[KEYNOTE '#]],FIND("-",Database[[#This Row],[KEYNOTE '#]])-1),Database[[#This Row],[KEYNOTE '#]])</f>
        <v>TP</v>
      </c>
      <c r="AE10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5" s="50" t="str">
        <f>IF(AND(ISNUMBER(SEARCH("-",Database[[#This Row],[KEYNOTE '#]]))=TRUE,ISNUMBER(--RIGHT(Database[[#This Row],[KEYNOTE '#]]))=FALSE),RIGHT(Database[[#This Row],[KEYNOTE '#]],1),"")</f>
        <v/>
      </c>
      <c r="AG105" s="50">
        <v>103</v>
      </c>
      <c r="AH105" s="50">
        <f>IF(COUNTIF(Database[[#This Row],[BASE]:[INT. OTHER]],"g"),"INTERIOR",IF(COUNTIF(Database[[#This Row],[ROOF]:[EXT. OTHER]],"n"),"EXTERIOR",Database[[#This Row],[DIVISION '#]]))</f>
        <v>10</v>
      </c>
      <c r="AI105" s="50" t="str">
        <f>IF(OR(Database[[#This Row],[KEYTIER1]]="INTERIOR",Database[[#This Row],[KEYTIER1]]="EXTERIOR"),"",Database[[#This Row],[DIVISION NAME]])</f>
        <v>DIVISION 10 - SPECIALTIES</v>
      </c>
      <c r="AJ105" s="50">
        <f>IF(Database[[#This Row],[KEYTIER1]]="INTERIOR","INT",IF(Database[[#This Row],[KEYTIER1]]="EXTERIOR","EXT",Database[[#This Row],[SECTION '#]]))</f>
        <v>102100</v>
      </c>
      <c r="AK105" s="50" t="str">
        <f>IF(OR(Database[[#This Row],[KEYTIER2]]="INT",Database[[#This Row],[KEYTIER2]]="EXT"),"",IF(Database[[#This Row],[SECTION NAME]]="","",Database[[#This Row],[SECTION NAME]]))</f>
        <v>SECTION 102100 - TOILET PARTITIONS</v>
      </c>
    </row>
    <row r="106" spans="2:37" ht="130.5" x14ac:dyDescent="0.35">
      <c r="B106" s="50" t="s">
        <v>36</v>
      </c>
      <c r="C106" s="50">
        <v>10</v>
      </c>
      <c r="D106" s="50" t="s">
        <v>69</v>
      </c>
      <c r="E106" s="50">
        <v>102800</v>
      </c>
      <c r="F106" s="53" t="s">
        <v>452</v>
      </c>
      <c r="G106" s="72" t="s">
        <v>453</v>
      </c>
      <c r="H106" s="53" t="s">
        <v>454</v>
      </c>
      <c r="I106" s="64"/>
      <c r="J106" s="52"/>
      <c r="K106" s="52"/>
      <c r="L106" s="52"/>
      <c r="M106" s="52"/>
      <c r="N106" s="54"/>
      <c r="O106" s="66"/>
      <c r="P106" s="51"/>
      <c r="Q106" s="51"/>
      <c r="R106" s="51"/>
      <c r="S106" s="51"/>
      <c r="T106" s="55"/>
      <c r="U106" s="69"/>
      <c r="V106" s="50"/>
      <c r="W106" s="50"/>
      <c r="X106" s="50"/>
      <c r="Y106" s="50"/>
      <c r="Z106" s="50"/>
      <c r="AA106" s="50"/>
      <c r="AB106" s="50"/>
      <c r="AC106" s="50">
        <f>IF(COUNTIF($C$3:C106,C106)=1,1,IF(COUNTIF($E$3:E106,E106)=1,2,0))</f>
        <v>2</v>
      </c>
      <c r="AD106" s="50" t="str">
        <f>IF(ISNUMBER(SEARCH("-",Database[[#This Row],[KEYNOTE '#]])),LEFT(Database[[#This Row],[KEYNOTE '#]],FIND("-",Database[[#This Row],[KEYNOTE '#]])-1),Database[[#This Row],[KEYNOTE '#]])</f>
        <v>TA</v>
      </c>
      <c r="AE10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6" s="50" t="str">
        <f>IF(AND(ISNUMBER(SEARCH("-",Database[[#This Row],[KEYNOTE '#]]))=TRUE,ISNUMBER(--RIGHT(Database[[#This Row],[KEYNOTE '#]]))=FALSE),RIGHT(Database[[#This Row],[KEYNOTE '#]],1),"")</f>
        <v/>
      </c>
      <c r="AG106" s="50">
        <v>104</v>
      </c>
      <c r="AH106" s="50">
        <f>IF(COUNTIF(Database[[#This Row],[BASE]:[INT. OTHER]],"g"),"INTERIOR",IF(COUNTIF(Database[[#This Row],[ROOF]:[EXT. OTHER]],"n"),"EXTERIOR",Database[[#This Row],[DIVISION '#]]))</f>
        <v>10</v>
      </c>
      <c r="AI106" s="50" t="str">
        <f>IF(OR(Database[[#This Row],[KEYTIER1]]="INTERIOR",Database[[#This Row],[KEYTIER1]]="EXTERIOR"),"",Database[[#This Row],[DIVISION NAME]])</f>
        <v>DIVISION 10 - SPECIALTIES</v>
      </c>
      <c r="AJ106" s="50">
        <f>IF(Database[[#This Row],[KEYTIER1]]="INTERIOR","INT",IF(Database[[#This Row],[KEYTIER1]]="EXTERIOR","EXT",Database[[#This Row],[SECTION '#]]))</f>
        <v>102800</v>
      </c>
      <c r="AK106" s="50" t="str">
        <f>IF(OR(Database[[#This Row],[KEYTIER2]]="INT",Database[[#This Row],[KEYTIER2]]="EXT"),"",IF(Database[[#This Row],[SECTION NAME]]="","",Database[[#This Row],[SECTION NAME]]))</f>
        <v>SECTION 102800 - TOILET, BATH, AND LAUNDRY ACCESSORIES</v>
      </c>
    </row>
    <row r="107" spans="2:37" ht="101.5" x14ac:dyDescent="0.35">
      <c r="B107" s="50" t="s">
        <v>36</v>
      </c>
      <c r="C107" s="50">
        <v>10</v>
      </c>
      <c r="D107" s="50" t="s">
        <v>69</v>
      </c>
      <c r="E107" s="50">
        <v>104413</v>
      </c>
      <c r="F107" s="53" t="s">
        <v>455</v>
      </c>
      <c r="G107" s="72" t="s">
        <v>456</v>
      </c>
      <c r="H107" s="53" t="s">
        <v>457</v>
      </c>
      <c r="I107" s="64"/>
      <c r="J107" s="52"/>
      <c r="K107" s="52"/>
      <c r="L107" s="52"/>
      <c r="M107" s="52"/>
      <c r="N107" s="54"/>
      <c r="O107" s="66"/>
      <c r="P107" s="51"/>
      <c r="Q107" s="51"/>
      <c r="R107" s="51"/>
      <c r="S107" s="51"/>
      <c r="T107" s="55"/>
      <c r="U107" s="69"/>
      <c r="V107" s="50"/>
      <c r="W107" s="50"/>
      <c r="X107" s="50"/>
      <c r="Y107" s="50"/>
      <c r="Z107" s="50"/>
      <c r="AA107" s="50"/>
      <c r="AB107" s="50"/>
      <c r="AC107" s="50">
        <f>IF(COUNTIF($C$3:C107,C107)=1,1,IF(COUNTIF($E$3:E107,E107)=1,2,0))</f>
        <v>2</v>
      </c>
      <c r="AD107" s="50" t="str">
        <f>IF(ISNUMBER(SEARCH("-",Database[[#This Row],[KEYNOTE '#]])),LEFT(Database[[#This Row],[KEYNOTE '#]],FIND("-",Database[[#This Row],[KEYNOTE '#]])-1),Database[[#This Row],[KEYNOTE '#]])</f>
        <v>FE</v>
      </c>
      <c r="AE10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7" s="50" t="str">
        <f>IF(AND(ISNUMBER(SEARCH("-",Database[[#This Row],[KEYNOTE '#]]))=TRUE,ISNUMBER(--RIGHT(Database[[#This Row],[KEYNOTE '#]]))=FALSE),RIGHT(Database[[#This Row],[KEYNOTE '#]],1),"")</f>
        <v/>
      </c>
      <c r="AG107" s="50">
        <v>105</v>
      </c>
      <c r="AH107" s="50">
        <f>IF(COUNTIF(Database[[#This Row],[BASE]:[INT. OTHER]],"g"),"INTERIOR",IF(COUNTIF(Database[[#This Row],[ROOF]:[EXT. OTHER]],"n"),"EXTERIOR",Database[[#This Row],[DIVISION '#]]))</f>
        <v>10</v>
      </c>
      <c r="AI107" s="50" t="str">
        <f>IF(OR(Database[[#This Row],[KEYTIER1]]="INTERIOR",Database[[#This Row],[KEYTIER1]]="EXTERIOR"),"",Database[[#This Row],[DIVISION NAME]])</f>
        <v>DIVISION 10 - SPECIALTIES</v>
      </c>
      <c r="AJ107" s="50">
        <f>IF(Database[[#This Row],[KEYTIER1]]="INTERIOR","INT",IF(Database[[#This Row],[KEYTIER1]]="EXTERIOR","EXT",Database[[#This Row],[SECTION '#]]))</f>
        <v>104413</v>
      </c>
      <c r="AK107" s="50" t="str">
        <f>IF(OR(Database[[#This Row],[KEYTIER2]]="INT",Database[[#This Row],[KEYTIER2]]="EXT"),"",IF(Database[[#This Row],[SECTION NAME]]="","",Database[[#This Row],[SECTION NAME]]))</f>
        <v>SECTION 104413 - FIRE PROTECTION CABINETS</v>
      </c>
    </row>
    <row r="108" spans="2:37" ht="58" x14ac:dyDescent="0.35">
      <c r="B108" s="50" t="s">
        <v>36</v>
      </c>
      <c r="C108" s="50">
        <v>12</v>
      </c>
      <c r="D108" s="50" t="s">
        <v>70</v>
      </c>
      <c r="E108" s="50">
        <v>122200</v>
      </c>
      <c r="F108" s="53" t="s">
        <v>458</v>
      </c>
      <c r="G108" s="72" t="s">
        <v>459</v>
      </c>
      <c r="H108" s="53" t="s">
        <v>460</v>
      </c>
      <c r="I108" s="64"/>
      <c r="J108" s="52"/>
      <c r="K108" s="52"/>
      <c r="L108" s="52"/>
      <c r="M108" s="52"/>
      <c r="N108" s="54"/>
      <c r="O108" s="66"/>
      <c r="P108" s="51"/>
      <c r="Q108" s="51"/>
      <c r="R108" s="51"/>
      <c r="S108" s="51"/>
      <c r="T108" s="55"/>
      <c r="U108" s="69"/>
      <c r="V108" s="50"/>
      <c r="W108" s="50"/>
      <c r="X108" s="50"/>
      <c r="Y108" s="50"/>
      <c r="Z108" s="50"/>
      <c r="AA108" s="50"/>
      <c r="AB108" s="50"/>
      <c r="AC108" s="50">
        <f>IF(COUNTIF($C$3:C108,C108)=1,1,IF(COUNTIF($E$3:E108,E108)=1,2,0))</f>
        <v>1</v>
      </c>
      <c r="AD108" s="50" t="str">
        <f>IF(ISNUMBER(SEARCH("-",Database[[#This Row],[KEYNOTE '#]])),LEFT(Database[[#This Row],[KEYNOTE '#]],FIND("-",Database[[#This Row],[KEYNOTE '#]])-1),Database[[#This Row],[KEYNOTE '#]])</f>
        <v>DRO</v>
      </c>
      <c r="AE10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8" s="50" t="str">
        <f>IF(AND(ISNUMBER(SEARCH("-",Database[[#This Row],[KEYNOTE '#]]))=TRUE,ISNUMBER(--RIGHT(Database[[#This Row],[KEYNOTE '#]]))=FALSE),RIGHT(Database[[#This Row],[KEYNOTE '#]],1),"")</f>
        <v/>
      </c>
      <c r="AG108" s="50">
        <v>106</v>
      </c>
      <c r="AH108" s="50">
        <f>IF(COUNTIF(Database[[#This Row],[BASE]:[INT. OTHER]],"g"),"INTERIOR",IF(COUNTIF(Database[[#This Row],[ROOF]:[EXT. OTHER]],"n"),"EXTERIOR",Database[[#This Row],[DIVISION '#]]))</f>
        <v>12</v>
      </c>
      <c r="AI108" s="50" t="str">
        <f>IF(OR(Database[[#This Row],[KEYTIER1]]="INTERIOR",Database[[#This Row],[KEYTIER1]]="EXTERIOR"),"",Database[[#This Row],[DIVISION NAME]])</f>
        <v>DIVISION 12 - FURNISHINGS</v>
      </c>
      <c r="AJ108" s="50">
        <f>IF(Database[[#This Row],[KEYTIER1]]="INTERIOR","INT",IF(Database[[#This Row],[KEYTIER1]]="EXTERIOR","EXT",Database[[#This Row],[SECTION '#]]))</f>
        <v>122200</v>
      </c>
      <c r="AK108" s="50" t="str">
        <f>IF(OR(Database[[#This Row],[KEYTIER2]]="INT",Database[[#This Row],[KEYTIER2]]="EXT"),"",IF(Database[[#This Row],[SECTION NAME]]="","",Database[[#This Row],[SECTION NAME]]))</f>
        <v>SECTION 122200 - DRAPERIES</v>
      </c>
    </row>
    <row r="109" spans="2:37" ht="87" x14ac:dyDescent="0.35">
      <c r="B109" s="50" t="s">
        <v>36</v>
      </c>
      <c r="C109" s="50">
        <v>12</v>
      </c>
      <c r="D109" s="50" t="s">
        <v>70</v>
      </c>
      <c r="E109" s="50">
        <v>122413</v>
      </c>
      <c r="F109" s="53" t="s">
        <v>461</v>
      </c>
      <c r="G109" s="72" t="s">
        <v>462</v>
      </c>
      <c r="H109" s="53" t="s">
        <v>463</v>
      </c>
      <c r="I109" s="64"/>
      <c r="J109" s="52"/>
      <c r="K109" s="52"/>
      <c r="L109" s="52"/>
      <c r="M109" s="52"/>
      <c r="N109" s="54"/>
      <c r="O109" s="66"/>
      <c r="P109" s="51"/>
      <c r="Q109" s="51"/>
      <c r="R109" s="51"/>
      <c r="S109" s="51"/>
      <c r="T109" s="55"/>
      <c r="U109" s="69"/>
      <c r="V109" s="50"/>
      <c r="W109" s="50"/>
      <c r="X109" s="50"/>
      <c r="Y109" s="50"/>
      <c r="Z109" s="50"/>
      <c r="AA109" s="50"/>
      <c r="AB109" s="50"/>
      <c r="AC109" s="50">
        <f>IF(COUNTIF($C$3:C109,C109)=1,1,IF(COUNTIF($E$3:E109,E109)=1,2,0))</f>
        <v>2</v>
      </c>
      <c r="AD109" s="50" t="str">
        <f>IF(ISNUMBER(SEARCH("-",Database[[#This Row],[KEYNOTE '#]])),LEFT(Database[[#This Row],[KEYNOTE '#]],FIND("-",Database[[#This Row],[KEYNOTE '#]])-1),Database[[#This Row],[KEYNOTE '#]])</f>
        <v>RS</v>
      </c>
      <c r="AE10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9" s="50" t="str">
        <f>IF(AND(ISNUMBER(SEARCH("-",Database[[#This Row],[KEYNOTE '#]]))=TRUE,ISNUMBER(--RIGHT(Database[[#This Row],[KEYNOTE '#]]))=FALSE),RIGHT(Database[[#This Row],[KEYNOTE '#]],1),"")</f>
        <v/>
      </c>
      <c r="AG109" s="50">
        <v>107</v>
      </c>
      <c r="AH109" s="50">
        <f>IF(COUNTIF(Database[[#This Row],[BASE]:[INT. OTHER]],"g"),"INTERIOR",IF(COUNTIF(Database[[#This Row],[ROOF]:[EXT. OTHER]],"n"),"EXTERIOR",Database[[#This Row],[DIVISION '#]]))</f>
        <v>12</v>
      </c>
      <c r="AI109" s="50" t="str">
        <f>IF(OR(Database[[#This Row],[KEYTIER1]]="INTERIOR",Database[[#This Row],[KEYTIER1]]="EXTERIOR"),"",Database[[#This Row],[DIVISION NAME]])</f>
        <v>DIVISION 12 - FURNISHINGS</v>
      </c>
      <c r="AJ109" s="50">
        <f>IF(Database[[#This Row],[KEYTIER1]]="INTERIOR","INT",IF(Database[[#This Row],[KEYTIER1]]="EXTERIOR","EXT",Database[[#This Row],[SECTION '#]]))</f>
        <v>122413</v>
      </c>
      <c r="AK109" s="50" t="str">
        <f>IF(OR(Database[[#This Row],[KEYTIER2]]="INT",Database[[#This Row],[KEYTIER2]]="EXT"),"",IF(Database[[#This Row],[SECTION NAME]]="","",Database[[#This Row],[SECTION NAME]]))</f>
        <v>SECTION 122413 - ROLLER WINDOW SHADES</v>
      </c>
    </row>
    <row r="110" spans="2:37" ht="29" x14ac:dyDescent="0.35">
      <c r="B110" s="50" t="s">
        <v>36</v>
      </c>
      <c r="C110" s="50">
        <v>12</v>
      </c>
      <c r="D110" s="50" t="s">
        <v>70</v>
      </c>
      <c r="E110" s="50">
        <v>123640</v>
      </c>
      <c r="F110" s="53" t="s">
        <v>464</v>
      </c>
      <c r="G110" s="72" t="s">
        <v>465</v>
      </c>
      <c r="H110" s="53" t="s">
        <v>466</v>
      </c>
      <c r="I110" s="64"/>
      <c r="J110" s="52"/>
      <c r="K110" s="52"/>
      <c r="L110" s="52"/>
      <c r="M110" s="52" t="s">
        <v>38</v>
      </c>
      <c r="N110" s="54"/>
      <c r="O110" s="66"/>
      <c r="P110" s="51"/>
      <c r="Q110" s="51"/>
      <c r="R110" s="51"/>
      <c r="S110" s="51"/>
      <c r="T110" s="55"/>
      <c r="U110" s="69"/>
      <c r="V110" s="50"/>
      <c r="W110" s="50"/>
      <c r="X110" s="50"/>
      <c r="Y110" s="50"/>
      <c r="Z110" s="50"/>
      <c r="AA110" s="50"/>
      <c r="AB110" s="50"/>
      <c r="AC110" s="50">
        <f>IF(COUNTIF($C$3:C110,C110)=1,1,IF(COUNTIF($E$3:E110,E110)=1,2,0))</f>
        <v>2</v>
      </c>
      <c r="AD110" s="50" t="str">
        <f>IF(ISNUMBER(SEARCH("-",Database[[#This Row],[KEYNOTE '#]])),LEFT(Database[[#This Row],[KEYNOTE '#]],FIND("-",Database[[#This Row],[KEYNOTE '#]])-1),Database[[#This Row],[KEYNOTE '#]])</f>
        <v>STC</v>
      </c>
      <c r="AE11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10" s="50" t="str">
        <f>IF(AND(ISNUMBER(SEARCH("-",Database[[#This Row],[KEYNOTE '#]]))=TRUE,ISNUMBER(--RIGHT(Database[[#This Row],[KEYNOTE '#]]))=FALSE),RIGHT(Database[[#This Row],[KEYNOTE '#]],1),"")</f>
        <v/>
      </c>
      <c r="AG110" s="50">
        <v>108</v>
      </c>
      <c r="AH110" s="50" t="str">
        <f>IF(COUNTIF(Database[[#This Row],[BASE]:[INT. OTHER]],"g"),"INTERIOR",IF(COUNTIF(Database[[#This Row],[ROOF]:[EXT. OTHER]],"n"),"EXTERIOR",Database[[#This Row],[DIVISION '#]]))</f>
        <v>INTERIOR</v>
      </c>
      <c r="AI110" s="50" t="str">
        <f>IF(OR(Database[[#This Row],[KEYTIER1]]="INTERIOR",Database[[#This Row],[KEYTIER1]]="EXTERIOR"),"",Database[[#This Row],[DIVISION NAME]])</f>
        <v/>
      </c>
      <c r="AJ110" s="50" t="str">
        <f>IF(Database[[#This Row],[KEYTIER1]]="INTERIOR","INT",IF(Database[[#This Row],[KEYTIER1]]="EXTERIOR","EXT",Database[[#This Row],[SECTION '#]]))</f>
        <v>INT</v>
      </c>
      <c r="AK110" s="50" t="str">
        <f>IF(OR(Database[[#This Row],[KEYTIER2]]="INT",Database[[#This Row],[KEYTIER2]]="EXT"),"",IF(Database[[#This Row],[SECTION NAME]]="","",Database[[#This Row],[SECTION NAME]]))</f>
        <v/>
      </c>
    </row>
    <row r="111" spans="2:37" ht="29" x14ac:dyDescent="0.35">
      <c r="B111" s="50" t="s">
        <v>36</v>
      </c>
      <c r="C111" s="50">
        <v>12</v>
      </c>
      <c r="D111" s="50" t="s">
        <v>70</v>
      </c>
      <c r="E111" s="50">
        <v>123661</v>
      </c>
      <c r="F111" s="53" t="s">
        <v>467</v>
      </c>
      <c r="G111" s="72" t="s">
        <v>468</v>
      </c>
      <c r="H111" s="53" t="s">
        <v>469</v>
      </c>
      <c r="I111" s="64"/>
      <c r="J111" s="52"/>
      <c r="K111" s="52"/>
      <c r="L111" s="52"/>
      <c r="M111" s="52" t="s">
        <v>38</v>
      </c>
      <c r="N111" s="54"/>
      <c r="O111" s="66"/>
      <c r="P111" s="51"/>
      <c r="Q111" s="51"/>
      <c r="R111" s="51"/>
      <c r="S111" s="51"/>
      <c r="T111" s="55"/>
      <c r="U111" s="69"/>
      <c r="V111" s="50"/>
      <c r="W111" s="50"/>
      <c r="X111" s="50"/>
      <c r="Y111" s="50"/>
      <c r="Z111" s="50"/>
      <c r="AA111" s="50"/>
      <c r="AB111" s="50"/>
      <c r="AC111" s="50">
        <f>IF(COUNTIF($C$3:C111,C111)=1,1,IF(COUNTIF($E$3:E111,E111)=1,2,0))</f>
        <v>2</v>
      </c>
      <c r="AD111" s="50" t="str">
        <f>IF(ISNUMBER(SEARCH("-",Database[[#This Row],[KEYNOTE '#]])),LEFT(Database[[#This Row],[KEYNOTE '#]],FIND("-",Database[[#This Row],[KEYNOTE '#]])-1),Database[[#This Row],[KEYNOTE '#]])</f>
        <v>SSC</v>
      </c>
      <c r="AE11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11" s="50" t="str">
        <f>IF(AND(ISNUMBER(SEARCH("-",Database[[#This Row],[KEYNOTE '#]]))=TRUE,ISNUMBER(--RIGHT(Database[[#This Row],[KEYNOTE '#]]))=FALSE),RIGHT(Database[[#This Row],[KEYNOTE '#]],1),"")</f>
        <v/>
      </c>
      <c r="AG111" s="50">
        <v>109</v>
      </c>
      <c r="AH111" s="50" t="str">
        <f>IF(COUNTIF(Database[[#This Row],[BASE]:[INT. OTHER]],"g"),"INTERIOR",IF(COUNTIF(Database[[#This Row],[ROOF]:[EXT. OTHER]],"n"),"EXTERIOR",Database[[#This Row],[DIVISION '#]]))</f>
        <v>INTERIOR</v>
      </c>
      <c r="AI111" s="50" t="str">
        <f>IF(OR(Database[[#This Row],[KEYTIER1]]="INTERIOR",Database[[#This Row],[KEYTIER1]]="EXTERIOR"),"",Database[[#This Row],[DIVISION NAME]])</f>
        <v/>
      </c>
      <c r="AJ111" s="50" t="str">
        <f>IF(Database[[#This Row],[KEYTIER1]]="INTERIOR","INT",IF(Database[[#This Row],[KEYTIER1]]="EXTERIOR","EXT",Database[[#This Row],[SECTION '#]]))</f>
        <v>INT</v>
      </c>
      <c r="AK111" s="50" t="str">
        <f>IF(OR(Database[[#This Row],[KEYTIER2]]="INT",Database[[#This Row],[KEYTIER2]]="EXT"),"",IF(Database[[#This Row],[SECTION NAME]]="","",Database[[#This Row],[SECTION NAME]]))</f>
        <v/>
      </c>
    </row>
    <row r="112" spans="2:37" ht="29" x14ac:dyDescent="0.35">
      <c r="B112" s="50" t="s">
        <v>36</v>
      </c>
      <c r="C112" s="50">
        <v>12</v>
      </c>
      <c r="D112" s="50" t="s">
        <v>70</v>
      </c>
      <c r="E112" s="50">
        <v>124813</v>
      </c>
      <c r="F112" s="53" t="s">
        <v>470</v>
      </c>
      <c r="G112" s="72" t="s">
        <v>471</v>
      </c>
      <c r="H112" s="53" t="s">
        <v>472</v>
      </c>
      <c r="I112" s="64"/>
      <c r="J112" s="52"/>
      <c r="K112" s="52"/>
      <c r="L112" s="52"/>
      <c r="M112" s="52"/>
      <c r="N112" s="54"/>
      <c r="O112" s="66"/>
      <c r="P112" s="51"/>
      <c r="Q112" s="51"/>
      <c r="R112" s="51"/>
      <c r="S112" s="51"/>
      <c r="T112" s="55" t="s">
        <v>40</v>
      </c>
      <c r="U112" s="69"/>
      <c r="V112" s="50"/>
      <c r="W112" s="50"/>
      <c r="X112" s="50"/>
      <c r="Y112" s="50"/>
      <c r="Z112" s="50"/>
      <c r="AA112" s="50"/>
      <c r="AB112" s="50"/>
      <c r="AC112" s="50">
        <f>IF(COUNTIF($C$3:C112,C112)=1,1,IF(COUNTIF($E$3:E112,E112)=1,2,0))</f>
        <v>2</v>
      </c>
      <c r="AD112" s="50" t="str">
        <f>IF(ISNUMBER(SEARCH("-",Database[[#This Row],[KEYNOTE '#]])),LEFT(Database[[#This Row],[KEYNOTE '#]],FIND("-",Database[[#This Row],[KEYNOTE '#]])-1),Database[[#This Row],[KEYNOTE '#]])</f>
        <v>EM</v>
      </c>
      <c r="AE11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12" s="50" t="str">
        <f>IF(AND(ISNUMBER(SEARCH("-",Database[[#This Row],[KEYNOTE '#]]))=TRUE,ISNUMBER(--RIGHT(Database[[#This Row],[KEYNOTE '#]]))=FALSE),RIGHT(Database[[#This Row],[KEYNOTE '#]],1),"")</f>
        <v/>
      </c>
      <c r="AG112" s="50">
        <v>110</v>
      </c>
      <c r="AH112" s="50" t="str">
        <f>IF(COUNTIF(Database[[#This Row],[BASE]:[INT. OTHER]],"g"),"INTERIOR",IF(COUNTIF(Database[[#This Row],[ROOF]:[EXT. OTHER]],"n"),"EXTERIOR",Database[[#This Row],[DIVISION '#]]))</f>
        <v>EXTERIOR</v>
      </c>
      <c r="AI112" s="50" t="str">
        <f>IF(OR(Database[[#This Row],[KEYTIER1]]="INTERIOR",Database[[#This Row],[KEYTIER1]]="EXTERIOR"),"",Database[[#This Row],[DIVISION NAME]])</f>
        <v/>
      </c>
      <c r="AJ112" s="50" t="str">
        <f>IF(Database[[#This Row],[KEYTIER1]]="INTERIOR","INT",IF(Database[[#This Row],[KEYTIER1]]="EXTERIOR","EXT",Database[[#This Row],[SECTION '#]]))</f>
        <v>EXT</v>
      </c>
      <c r="AK112" s="50" t="str">
        <f>IF(OR(Database[[#This Row],[KEYTIER2]]="INT",Database[[#This Row],[KEYTIER2]]="EXT"),"",IF(Database[[#This Row],[SECTION NAME]]="","",Database[[#This Row],[SECTION NAME]]))</f>
        <v/>
      </c>
    </row>
    <row r="113" spans="2:37" ht="43.5" x14ac:dyDescent="0.35">
      <c r="B113" s="50" t="s">
        <v>71</v>
      </c>
      <c r="C113" s="50" t="s">
        <v>72</v>
      </c>
      <c r="D113" s="50" t="s">
        <v>73</v>
      </c>
      <c r="E113" s="50" t="s">
        <v>74</v>
      </c>
      <c r="F113" s="53"/>
      <c r="G113" s="72">
        <v>101</v>
      </c>
      <c r="H113" s="53"/>
      <c r="I113" s="64"/>
      <c r="J113" s="52"/>
      <c r="K113" s="52"/>
      <c r="L113" s="52"/>
      <c r="M113" s="52"/>
      <c r="N113" s="54"/>
      <c r="O113" s="66"/>
      <c r="P113" s="51"/>
      <c r="Q113" s="51"/>
      <c r="R113" s="51"/>
      <c r="S113" s="51"/>
      <c r="T113" s="55"/>
      <c r="U113" s="69"/>
      <c r="V113" s="50"/>
      <c r="W113" s="50"/>
      <c r="X113" s="50"/>
      <c r="Y113" s="50"/>
      <c r="Z113" s="50"/>
      <c r="AA113" s="50"/>
      <c r="AB113" s="50"/>
      <c r="AC113" s="50">
        <f>IF(COUNTIF($C$3:C113,C113)=1,1,IF(COUNTIF($E$3:E113,E113)=1,2,0))</f>
        <v>1</v>
      </c>
      <c r="AD113" s="50">
        <f>IF(ISNUMBER(SEARCH("-",Database[[#This Row],[KEYNOTE '#]])),LEFT(Database[[#This Row],[KEYNOTE '#]],FIND("-",Database[[#This Row],[KEYNOTE '#]])-1),Database[[#This Row],[KEYNOTE '#]])</f>
        <v>101</v>
      </c>
      <c r="AE11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3" s="50" t="str">
        <f>IF(AND(ISNUMBER(SEARCH("-",Database[[#This Row],[KEYNOTE '#]]))=TRUE,ISNUMBER(--RIGHT(Database[[#This Row],[KEYNOTE '#]]))=FALSE),RIGHT(Database[[#This Row],[KEYNOTE '#]],1),"")</f>
        <v/>
      </c>
      <c r="AG113" s="50">
        <v>111</v>
      </c>
      <c r="AH113" s="50" t="str">
        <f>IF(COUNTIF(Database[[#This Row],[BASE]:[INT. OTHER]],"g"),"INTERIOR",IF(COUNTIF(Database[[#This Row],[ROOF]:[EXT. OTHER]],"n"),"EXTERIOR",Database[[#This Row],[DIVISION '#]]))</f>
        <v>ARCH NOTES</v>
      </c>
      <c r="AI113" s="50" t="str">
        <f>IF(OR(Database[[#This Row],[KEYTIER1]]="INTERIOR",Database[[#This Row],[KEYTIER1]]="EXTERIOR"),"",Database[[#This Row],[DIVISION NAME]])</f>
        <v>BY CATEGORY</v>
      </c>
      <c r="AJ113" s="50" t="str">
        <f>IF(Database[[#This Row],[KEYTIER1]]="INTERIOR","INT",IF(Database[[#This Row],[KEYTIER1]]="EXTERIOR","EXT",Database[[#This Row],[SECTION '#]]))</f>
        <v>CASEWORK/MILLWORK</v>
      </c>
      <c r="AK113" s="50" t="str">
        <f>IF(OR(Database[[#This Row],[KEYTIER2]]="INT",Database[[#This Row],[KEYTIER2]]="EXT"),"",IF(Database[[#This Row],[SECTION NAME]]="","",Database[[#This Row],[SECTION NAME]]))</f>
        <v/>
      </c>
    </row>
    <row r="114" spans="2:37" ht="43.5" x14ac:dyDescent="0.35">
      <c r="B114" s="50" t="s">
        <v>71</v>
      </c>
      <c r="C114" s="50" t="s">
        <v>72</v>
      </c>
      <c r="D114" s="50" t="s">
        <v>73</v>
      </c>
      <c r="E114" s="50" t="s">
        <v>74</v>
      </c>
      <c r="F114" s="53"/>
      <c r="G114" s="72">
        <v>102</v>
      </c>
      <c r="H114" s="53"/>
      <c r="I114" s="64"/>
      <c r="J114" s="52"/>
      <c r="K114" s="52"/>
      <c r="L114" s="52"/>
      <c r="M114" s="52"/>
      <c r="N114" s="54"/>
      <c r="O114" s="66"/>
      <c r="P114" s="51"/>
      <c r="Q114" s="51"/>
      <c r="R114" s="51"/>
      <c r="S114" s="51"/>
      <c r="T114" s="55"/>
      <c r="U114" s="69"/>
      <c r="V114" s="50"/>
      <c r="W114" s="50"/>
      <c r="X114" s="50"/>
      <c r="Y114" s="50"/>
      <c r="Z114" s="50"/>
      <c r="AA114" s="50"/>
      <c r="AB114" s="50"/>
      <c r="AC114" s="50">
        <f>IF(COUNTIF($C$3:C114,C114)=1,1,IF(COUNTIF($E$3:E114,E114)=1,2,0))</f>
        <v>0</v>
      </c>
      <c r="AD114" s="50">
        <f>IF(ISNUMBER(SEARCH("-",Database[[#This Row],[KEYNOTE '#]])),LEFT(Database[[#This Row],[KEYNOTE '#]],FIND("-",Database[[#This Row],[KEYNOTE '#]])-1),Database[[#This Row],[KEYNOTE '#]])</f>
        <v>102</v>
      </c>
      <c r="AE11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4" s="50" t="str">
        <f>IF(AND(ISNUMBER(SEARCH("-",Database[[#This Row],[KEYNOTE '#]]))=TRUE,ISNUMBER(--RIGHT(Database[[#This Row],[KEYNOTE '#]]))=FALSE),RIGHT(Database[[#This Row],[KEYNOTE '#]],1),"")</f>
        <v/>
      </c>
      <c r="AG114" s="50">
        <v>112</v>
      </c>
      <c r="AH114" s="50" t="str">
        <f>IF(COUNTIF(Database[[#This Row],[BASE]:[INT. OTHER]],"g"),"INTERIOR",IF(COUNTIF(Database[[#This Row],[ROOF]:[EXT. OTHER]],"n"),"EXTERIOR",Database[[#This Row],[DIVISION '#]]))</f>
        <v>ARCH NOTES</v>
      </c>
      <c r="AI114" s="50" t="str">
        <f>IF(OR(Database[[#This Row],[KEYTIER1]]="INTERIOR",Database[[#This Row],[KEYTIER1]]="EXTERIOR"),"",Database[[#This Row],[DIVISION NAME]])</f>
        <v>BY CATEGORY</v>
      </c>
      <c r="AJ114" s="50" t="str">
        <f>IF(Database[[#This Row],[KEYTIER1]]="INTERIOR","INT",IF(Database[[#This Row],[KEYTIER1]]="EXTERIOR","EXT",Database[[#This Row],[SECTION '#]]))</f>
        <v>CASEWORK/MILLWORK</v>
      </c>
      <c r="AK114" s="50" t="str">
        <f>IF(OR(Database[[#This Row],[KEYTIER2]]="INT",Database[[#This Row],[KEYTIER2]]="EXT"),"",IF(Database[[#This Row],[SECTION NAME]]="","",Database[[#This Row],[SECTION NAME]]))</f>
        <v/>
      </c>
    </row>
    <row r="115" spans="2:37" ht="43.5" x14ac:dyDescent="0.35">
      <c r="B115" s="50" t="s">
        <v>71</v>
      </c>
      <c r="C115" s="50" t="s">
        <v>72</v>
      </c>
      <c r="D115" s="50" t="s">
        <v>73</v>
      </c>
      <c r="E115" s="50" t="s">
        <v>74</v>
      </c>
      <c r="F115" s="53"/>
      <c r="G115" s="72">
        <v>103</v>
      </c>
      <c r="H115" s="53"/>
      <c r="I115" s="64"/>
      <c r="J115" s="52"/>
      <c r="K115" s="52"/>
      <c r="L115" s="52"/>
      <c r="M115" s="52"/>
      <c r="N115" s="54"/>
      <c r="O115" s="66"/>
      <c r="P115" s="51"/>
      <c r="Q115" s="51"/>
      <c r="R115" s="51"/>
      <c r="S115" s="51"/>
      <c r="T115" s="55"/>
      <c r="U115" s="69"/>
      <c r="V115" s="50"/>
      <c r="W115" s="50"/>
      <c r="X115" s="50"/>
      <c r="Y115" s="50"/>
      <c r="Z115" s="50"/>
      <c r="AA115" s="50"/>
      <c r="AB115" s="50"/>
      <c r="AC115" s="50">
        <f>IF(COUNTIF($C$3:C115,C115)=1,1,IF(COUNTIF($E$3:E115,E115)=1,2,0))</f>
        <v>0</v>
      </c>
      <c r="AD115" s="50">
        <f>IF(ISNUMBER(SEARCH("-",Database[[#This Row],[KEYNOTE '#]])),LEFT(Database[[#This Row],[KEYNOTE '#]],FIND("-",Database[[#This Row],[KEYNOTE '#]])-1),Database[[#This Row],[KEYNOTE '#]])</f>
        <v>103</v>
      </c>
      <c r="AE11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5" s="50" t="str">
        <f>IF(AND(ISNUMBER(SEARCH("-",Database[[#This Row],[KEYNOTE '#]]))=TRUE,ISNUMBER(--RIGHT(Database[[#This Row],[KEYNOTE '#]]))=FALSE),RIGHT(Database[[#This Row],[KEYNOTE '#]],1),"")</f>
        <v/>
      </c>
      <c r="AG115" s="50">
        <v>113</v>
      </c>
      <c r="AH115" s="50" t="str">
        <f>IF(COUNTIF(Database[[#This Row],[BASE]:[INT. OTHER]],"g"),"INTERIOR",IF(COUNTIF(Database[[#This Row],[ROOF]:[EXT. OTHER]],"n"),"EXTERIOR",Database[[#This Row],[DIVISION '#]]))</f>
        <v>ARCH NOTES</v>
      </c>
      <c r="AI115" s="50" t="str">
        <f>IF(OR(Database[[#This Row],[KEYTIER1]]="INTERIOR",Database[[#This Row],[KEYTIER1]]="EXTERIOR"),"",Database[[#This Row],[DIVISION NAME]])</f>
        <v>BY CATEGORY</v>
      </c>
      <c r="AJ115" s="50" t="str">
        <f>IF(Database[[#This Row],[KEYTIER1]]="INTERIOR","INT",IF(Database[[#This Row],[KEYTIER1]]="EXTERIOR","EXT",Database[[#This Row],[SECTION '#]]))</f>
        <v>CASEWORK/MILLWORK</v>
      </c>
      <c r="AK115" s="50" t="str">
        <f>IF(OR(Database[[#This Row],[KEYTIER2]]="INT",Database[[#This Row],[KEYTIER2]]="EXT"),"",IF(Database[[#This Row],[SECTION NAME]]="","",Database[[#This Row],[SECTION NAME]]))</f>
        <v/>
      </c>
    </row>
    <row r="116" spans="2:37" ht="43.5" x14ac:dyDescent="0.35">
      <c r="B116" s="50" t="s">
        <v>71</v>
      </c>
      <c r="C116" s="50" t="s">
        <v>72</v>
      </c>
      <c r="D116" s="50" t="s">
        <v>73</v>
      </c>
      <c r="E116" s="50" t="s">
        <v>78</v>
      </c>
      <c r="F116" s="53"/>
      <c r="G116" s="72">
        <v>201</v>
      </c>
      <c r="H116" s="53"/>
      <c r="I116" s="64"/>
      <c r="J116" s="52"/>
      <c r="K116" s="52"/>
      <c r="L116" s="52"/>
      <c r="M116" s="52"/>
      <c r="N116" s="54"/>
      <c r="O116" s="66"/>
      <c r="P116" s="51"/>
      <c r="Q116" s="51"/>
      <c r="R116" s="51"/>
      <c r="S116" s="51"/>
      <c r="T116" s="55"/>
      <c r="U116" s="69"/>
      <c r="V116" s="50"/>
      <c r="W116" s="50"/>
      <c r="X116" s="50"/>
      <c r="Y116" s="50"/>
      <c r="Z116" s="50"/>
      <c r="AA116" s="50"/>
      <c r="AB116" s="50"/>
      <c r="AC116" s="50">
        <f>IF(COUNTIF($C$3:C116,C116)=1,1,IF(COUNTIF($E$3:E116,E116)=1,2,0))</f>
        <v>2</v>
      </c>
      <c r="AD116" s="50">
        <f>IF(ISNUMBER(SEARCH("-",Database[[#This Row],[KEYNOTE '#]])),LEFT(Database[[#This Row],[KEYNOTE '#]],FIND("-",Database[[#This Row],[KEYNOTE '#]])-1),Database[[#This Row],[KEYNOTE '#]])</f>
        <v>201</v>
      </c>
      <c r="AE11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6" s="50" t="str">
        <f>IF(AND(ISNUMBER(SEARCH("-",Database[[#This Row],[KEYNOTE '#]]))=TRUE,ISNUMBER(--RIGHT(Database[[#This Row],[KEYNOTE '#]]))=FALSE),RIGHT(Database[[#This Row],[KEYNOTE '#]],1),"")</f>
        <v/>
      </c>
      <c r="AG116" s="50">
        <v>114</v>
      </c>
      <c r="AH116" s="50" t="str">
        <f>IF(COUNTIF(Database[[#This Row],[BASE]:[INT. OTHER]],"g"),"INTERIOR",IF(COUNTIF(Database[[#This Row],[ROOF]:[EXT. OTHER]],"n"),"EXTERIOR",Database[[#This Row],[DIVISION '#]]))</f>
        <v>ARCH NOTES</v>
      </c>
      <c r="AI116" s="50" t="str">
        <f>IF(OR(Database[[#This Row],[KEYTIER1]]="INTERIOR",Database[[#This Row],[KEYTIER1]]="EXTERIOR"),"",Database[[#This Row],[DIVISION NAME]])</f>
        <v>BY CATEGORY</v>
      </c>
      <c r="AJ116" s="50" t="str">
        <f>IF(Database[[#This Row],[KEYTIER1]]="INTERIOR","INT",IF(Database[[#This Row],[KEYTIER1]]="EXTERIOR","EXT",Database[[#This Row],[SECTION '#]]))</f>
        <v>CURTAINWALL</v>
      </c>
      <c r="AK116" s="50" t="str">
        <f>IF(OR(Database[[#This Row],[KEYTIER2]]="INT",Database[[#This Row],[KEYTIER2]]="EXT"),"",IF(Database[[#This Row],[SECTION NAME]]="","",Database[[#This Row],[SECTION NAME]]))</f>
        <v/>
      </c>
    </row>
    <row r="117" spans="2:37" ht="43.5" x14ac:dyDescent="0.35">
      <c r="B117" s="50" t="s">
        <v>71</v>
      </c>
      <c r="C117" s="50" t="s">
        <v>72</v>
      </c>
      <c r="D117" s="50" t="s">
        <v>73</v>
      </c>
      <c r="E117" s="50" t="s">
        <v>78</v>
      </c>
      <c r="F117" s="53"/>
      <c r="G117" s="72">
        <v>202</v>
      </c>
      <c r="H117" s="53"/>
      <c r="I117" s="64"/>
      <c r="J117" s="52"/>
      <c r="K117" s="52"/>
      <c r="L117" s="52"/>
      <c r="M117" s="52"/>
      <c r="N117" s="54"/>
      <c r="O117" s="66"/>
      <c r="P117" s="51"/>
      <c r="Q117" s="51"/>
      <c r="R117" s="51"/>
      <c r="S117" s="51"/>
      <c r="T117" s="55"/>
      <c r="U117" s="69"/>
      <c r="V117" s="50"/>
      <c r="W117" s="50"/>
      <c r="X117" s="50"/>
      <c r="Y117" s="50"/>
      <c r="Z117" s="50"/>
      <c r="AA117" s="50"/>
      <c r="AB117" s="50"/>
      <c r="AC117" s="50">
        <f>IF(COUNTIF($C$3:C117,C117)=1,1,IF(COUNTIF($E$3:E117,E117)=1,2,0))</f>
        <v>0</v>
      </c>
      <c r="AD117" s="50">
        <f>IF(ISNUMBER(SEARCH("-",Database[[#This Row],[KEYNOTE '#]])),LEFT(Database[[#This Row],[KEYNOTE '#]],FIND("-",Database[[#This Row],[KEYNOTE '#]])-1),Database[[#This Row],[KEYNOTE '#]])</f>
        <v>202</v>
      </c>
      <c r="AE11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7" s="50" t="str">
        <f>IF(AND(ISNUMBER(SEARCH("-",Database[[#This Row],[KEYNOTE '#]]))=TRUE,ISNUMBER(--RIGHT(Database[[#This Row],[KEYNOTE '#]]))=FALSE),RIGHT(Database[[#This Row],[KEYNOTE '#]],1),"")</f>
        <v/>
      </c>
      <c r="AG117" s="50">
        <v>115</v>
      </c>
      <c r="AH117" s="50" t="str">
        <f>IF(COUNTIF(Database[[#This Row],[BASE]:[INT. OTHER]],"g"),"INTERIOR",IF(COUNTIF(Database[[#This Row],[ROOF]:[EXT. OTHER]],"n"),"EXTERIOR",Database[[#This Row],[DIVISION '#]]))</f>
        <v>ARCH NOTES</v>
      </c>
      <c r="AI117" s="50" t="str">
        <f>IF(OR(Database[[#This Row],[KEYTIER1]]="INTERIOR",Database[[#This Row],[KEYTIER1]]="EXTERIOR"),"",Database[[#This Row],[DIVISION NAME]])</f>
        <v>BY CATEGORY</v>
      </c>
      <c r="AJ117" s="50" t="str">
        <f>IF(Database[[#This Row],[KEYTIER1]]="INTERIOR","INT",IF(Database[[#This Row],[KEYTIER1]]="EXTERIOR","EXT",Database[[#This Row],[SECTION '#]]))</f>
        <v>CURTAINWALL</v>
      </c>
      <c r="AK117" s="50" t="str">
        <f>IF(OR(Database[[#This Row],[KEYTIER2]]="INT",Database[[#This Row],[KEYTIER2]]="EXT"),"",IF(Database[[#This Row],[SECTION NAME]]="","",Database[[#This Row],[SECTION NAME]]))</f>
        <v/>
      </c>
    </row>
    <row r="118" spans="2:37" ht="43.5" x14ac:dyDescent="0.35">
      <c r="B118" s="50" t="s">
        <v>71</v>
      </c>
      <c r="C118" s="50" t="s">
        <v>72</v>
      </c>
      <c r="D118" s="50" t="s">
        <v>73</v>
      </c>
      <c r="E118" s="50" t="s">
        <v>78</v>
      </c>
      <c r="F118" s="53"/>
      <c r="G118" s="72">
        <v>203</v>
      </c>
      <c r="H118" s="53"/>
      <c r="I118" s="64"/>
      <c r="J118" s="52"/>
      <c r="K118" s="52"/>
      <c r="L118" s="52"/>
      <c r="M118" s="52"/>
      <c r="N118" s="54"/>
      <c r="O118" s="66"/>
      <c r="P118" s="51"/>
      <c r="Q118" s="51"/>
      <c r="R118" s="51"/>
      <c r="S118" s="51"/>
      <c r="T118" s="55"/>
      <c r="U118" s="69"/>
      <c r="V118" s="50"/>
      <c r="W118" s="50"/>
      <c r="X118" s="50"/>
      <c r="Y118" s="50"/>
      <c r="Z118" s="50"/>
      <c r="AA118" s="50"/>
      <c r="AB118" s="50"/>
      <c r="AC118" s="50">
        <f>IF(COUNTIF($C$3:C118,C118)=1,1,IF(COUNTIF($E$3:E118,E118)=1,2,0))</f>
        <v>0</v>
      </c>
      <c r="AD118" s="50">
        <f>IF(ISNUMBER(SEARCH("-",Database[[#This Row],[KEYNOTE '#]])),LEFT(Database[[#This Row],[KEYNOTE '#]],FIND("-",Database[[#This Row],[KEYNOTE '#]])-1),Database[[#This Row],[KEYNOTE '#]])</f>
        <v>203</v>
      </c>
      <c r="AE11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8" s="50" t="str">
        <f>IF(AND(ISNUMBER(SEARCH("-",Database[[#This Row],[KEYNOTE '#]]))=TRUE,ISNUMBER(--RIGHT(Database[[#This Row],[KEYNOTE '#]]))=FALSE),RIGHT(Database[[#This Row],[KEYNOTE '#]],1),"")</f>
        <v/>
      </c>
      <c r="AG118" s="50">
        <v>116</v>
      </c>
      <c r="AH118" s="50" t="str">
        <f>IF(COUNTIF(Database[[#This Row],[BASE]:[INT. OTHER]],"g"),"INTERIOR",IF(COUNTIF(Database[[#This Row],[ROOF]:[EXT. OTHER]],"n"),"EXTERIOR",Database[[#This Row],[DIVISION '#]]))</f>
        <v>ARCH NOTES</v>
      </c>
      <c r="AI118" s="50" t="str">
        <f>IF(OR(Database[[#This Row],[KEYTIER1]]="INTERIOR",Database[[#This Row],[KEYTIER1]]="EXTERIOR"),"",Database[[#This Row],[DIVISION NAME]])</f>
        <v>BY CATEGORY</v>
      </c>
      <c r="AJ118" s="50" t="str">
        <f>IF(Database[[#This Row],[KEYTIER1]]="INTERIOR","INT",IF(Database[[#This Row],[KEYTIER1]]="EXTERIOR","EXT",Database[[#This Row],[SECTION '#]]))</f>
        <v>CURTAINWALL</v>
      </c>
      <c r="AK118" s="50" t="str">
        <f>IF(OR(Database[[#This Row],[KEYTIER2]]="INT",Database[[#This Row],[KEYTIER2]]="EXT"),"",IF(Database[[#This Row],[SECTION NAME]]="","",Database[[#This Row],[SECTION NAME]]))</f>
        <v/>
      </c>
    </row>
    <row r="119" spans="2:37" ht="43.5" x14ac:dyDescent="0.35">
      <c r="B119" s="50" t="s">
        <v>71</v>
      </c>
      <c r="C119" s="50" t="s">
        <v>72</v>
      </c>
      <c r="D119" s="50" t="s">
        <v>73</v>
      </c>
      <c r="E119" s="50" t="s">
        <v>82</v>
      </c>
      <c r="F119" s="53"/>
      <c r="G119" s="72">
        <v>301</v>
      </c>
      <c r="H119" s="53"/>
      <c r="I119" s="64"/>
      <c r="J119" s="52"/>
      <c r="K119" s="52"/>
      <c r="L119" s="52"/>
      <c r="M119" s="52"/>
      <c r="N119" s="54"/>
      <c r="O119" s="66"/>
      <c r="P119" s="51"/>
      <c r="Q119" s="51"/>
      <c r="R119" s="51"/>
      <c r="S119" s="51"/>
      <c r="T119" s="55"/>
      <c r="U119" s="69"/>
      <c r="V119" s="50"/>
      <c r="W119" s="50"/>
      <c r="X119" s="50"/>
      <c r="Y119" s="50"/>
      <c r="Z119" s="50"/>
      <c r="AA119" s="50"/>
      <c r="AB119" s="50"/>
      <c r="AC119" s="50">
        <f>IF(COUNTIF($C$3:C119,C119)=1,1,IF(COUNTIF($E$3:E119,E119)=1,2,0))</f>
        <v>2</v>
      </c>
      <c r="AD119" s="50">
        <f>IF(ISNUMBER(SEARCH("-",Database[[#This Row],[KEYNOTE '#]])),LEFT(Database[[#This Row],[KEYNOTE '#]],FIND("-",Database[[#This Row],[KEYNOTE '#]])-1),Database[[#This Row],[KEYNOTE '#]])</f>
        <v>301</v>
      </c>
      <c r="AE11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9" s="50" t="str">
        <f>IF(AND(ISNUMBER(SEARCH("-",Database[[#This Row],[KEYNOTE '#]]))=TRUE,ISNUMBER(--RIGHT(Database[[#This Row],[KEYNOTE '#]]))=FALSE),RIGHT(Database[[#This Row],[KEYNOTE '#]],1),"")</f>
        <v/>
      </c>
      <c r="AG119" s="50">
        <v>117</v>
      </c>
      <c r="AH119" s="50" t="str">
        <f>IF(COUNTIF(Database[[#This Row],[BASE]:[INT. OTHER]],"g"),"INTERIOR",IF(COUNTIF(Database[[#This Row],[ROOF]:[EXT. OTHER]],"n"),"EXTERIOR",Database[[#This Row],[DIVISION '#]]))</f>
        <v>ARCH NOTES</v>
      </c>
      <c r="AI119" s="50" t="str">
        <f>IF(OR(Database[[#This Row],[KEYTIER1]]="INTERIOR",Database[[#This Row],[KEYTIER1]]="EXTERIOR"),"",Database[[#This Row],[DIVISION NAME]])</f>
        <v>BY CATEGORY</v>
      </c>
      <c r="AJ119" s="50" t="str">
        <f>IF(Database[[#This Row],[KEYTIER1]]="INTERIOR","INT",IF(Database[[#This Row],[KEYTIER1]]="EXTERIOR","EXT",Database[[#This Row],[SECTION '#]]))</f>
        <v>DETAIL ITEMS</v>
      </c>
      <c r="AK119" s="50" t="str">
        <f>IF(OR(Database[[#This Row],[KEYTIER2]]="INT",Database[[#This Row],[KEYTIER2]]="EXT"),"",IF(Database[[#This Row],[SECTION NAME]]="","",Database[[#This Row],[SECTION NAME]]))</f>
        <v/>
      </c>
    </row>
    <row r="120" spans="2:37" ht="43.5" x14ac:dyDescent="0.35">
      <c r="B120" s="50" t="s">
        <v>71</v>
      </c>
      <c r="C120" s="50" t="s">
        <v>72</v>
      </c>
      <c r="D120" s="50" t="s">
        <v>73</v>
      </c>
      <c r="E120" s="50" t="s">
        <v>82</v>
      </c>
      <c r="F120" s="53"/>
      <c r="G120" s="72">
        <v>302</v>
      </c>
      <c r="H120" s="53"/>
      <c r="I120" s="64"/>
      <c r="J120" s="52"/>
      <c r="K120" s="52"/>
      <c r="L120" s="52"/>
      <c r="M120" s="52"/>
      <c r="N120" s="54"/>
      <c r="O120" s="66"/>
      <c r="P120" s="51"/>
      <c r="Q120" s="51"/>
      <c r="R120" s="51"/>
      <c r="S120" s="51"/>
      <c r="T120" s="55"/>
      <c r="U120" s="69"/>
      <c r="V120" s="50"/>
      <c r="W120" s="50"/>
      <c r="X120" s="50"/>
      <c r="Y120" s="50"/>
      <c r="Z120" s="50"/>
      <c r="AA120" s="50"/>
      <c r="AB120" s="50"/>
      <c r="AC120" s="50">
        <f>IF(COUNTIF($C$3:C120,C120)=1,1,IF(COUNTIF($E$3:E120,E120)=1,2,0))</f>
        <v>0</v>
      </c>
      <c r="AD120" s="50">
        <f>IF(ISNUMBER(SEARCH("-",Database[[#This Row],[KEYNOTE '#]])),LEFT(Database[[#This Row],[KEYNOTE '#]],FIND("-",Database[[#This Row],[KEYNOTE '#]])-1),Database[[#This Row],[KEYNOTE '#]])</f>
        <v>302</v>
      </c>
      <c r="AE12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0" s="50" t="str">
        <f>IF(AND(ISNUMBER(SEARCH("-",Database[[#This Row],[KEYNOTE '#]]))=TRUE,ISNUMBER(--RIGHT(Database[[#This Row],[KEYNOTE '#]]))=FALSE),RIGHT(Database[[#This Row],[KEYNOTE '#]],1),"")</f>
        <v/>
      </c>
      <c r="AG120" s="50">
        <v>118</v>
      </c>
      <c r="AH120" s="50" t="str">
        <f>IF(COUNTIF(Database[[#This Row],[BASE]:[INT. OTHER]],"g"),"INTERIOR",IF(COUNTIF(Database[[#This Row],[ROOF]:[EXT. OTHER]],"n"),"EXTERIOR",Database[[#This Row],[DIVISION '#]]))</f>
        <v>ARCH NOTES</v>
      </c>
      <c r="AI120" s="50" t="str">
        <f>IF(OR(Database[[#This Row],[KEYTIER1]]="INTERIOR",Database[[#This Row],[KEYTIER1]]="EXTERIOR"),"",Database[[#This Row],[DIVISION NAME]])</f>
        <v>BY CATEGORY</v>
      </c>
      <c r="AJ120" s="50" t="str">
        <f>IF(Database[[#This Row],[KEYTIER1]]="INTERIOR","INT",IF(Database[[#This Row],[KEYTIER1]]="EXTERIOR","EXT",Database[[#This Row],[SECTION '#]]))</f>
        <v>DETAIL ITEMS</v>
      </c>
      <c r="AK120" s="50" t="str">
        <f>IF(OR(Database[[#This Row],[KEYTIER2]]="INT",Database[[#This Row],[KEYTIER2]]="EXT"),"",IF(Database[[#This Row],[SECTION NAME]]="","",Database[[#This Row],[SECTION NAME]]))</f>
        <v/>
      </c>
    </row>
    <row r="121" spans="2:37" ht="43.5" x14ac:dyDescent="0.35">
      <c r="B121" s="50" t="s">
        <v>71</v>
      </c>
      <c r="C121" s="50" t="s">
        <v>72</v>
      </c>
      <c r="D121" s="50" t="s">
        <v>73</v>
      </c>
      <c r="E121" s="50" t="s">
        <v>82</v>
      </c>
      <c r="F121" s="53"/>
      <c r="G121" s="72">
        <v>303</v>
      </c>
      <c r="H121" s="53"/>
      <c r="I121" s="64"/>
      <c r="J121" s="52"/>
      <c r="K121" s="52"/>
      <c r="L121" s="52"/>
      <c r="M121" s="52"/>
      <c r="N121" s="54"/>
      <c r="O121" s="66"/>
      <c r="P121" s="51"/>
      <c r="Q121" s="51"/>
      <c r="R121" s="51"/>
      <c r="S121" s="51"/>
      <c r="T121" s="55"/>
      <c r="U121" s="69"/>
      <c r="V121" s="50"/>
      <c r="W121" s="50"/>
      <c r="X121" s="50"/>
      <c r="Y121" s="50"/>
      <c r="Z121" s="50"/>
      <c r="AA121" s="50"/>
      <c r="AB121" s="50"/>
      <c r="AC121" s="50">
        <f>IF(COUNTIF($C$3:C121,C121)=1,1,IF(COUNTIF($E$3:E121,E121)=1,2,0))</f>
        <v>0</v>
      </c>
      <c r="AD121" s="50">
        <f>IF(ISNUMBER(SEARCH("-",Database[[#This Row],[KEYNOTE '#]])),LEFT(Database[[#This Row],[KEYNOTE '#]],FIND("-",Database[[#This Row],[KEYNOTE '#]])-1),Database[[#This Row],[KEYNOTE '#]])</f>
        <v>303</v>
      </c>
      <c r="AE12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1" s="50" t="str">
        <f>IF(AND(ISNUMBER(SEARCH("-",Database[[#This Row],[KEYNOTE '#]]))=TRUE,ISNUMBER(--RIGHT(Database[[#This Row],[KEYNOTE '#]]))=FALSE),RIGHT(Database[[#This Row],[KEYNOTE '#]],1),"")</f>
        <v/>
      </c>
      <c r="AG121" s="50">
        <v>119</v>
      </c>
      <c r="AH121" s="50" t="str">
        <f>IF(COUNTIF(Database[[#This Row],[BASE]:[INT. OTHER]],"g"),"INTERIOR",IF(COUNTIF(Database[[#This Row],[ROOF]:[EXT. OTHER]],"n"),"EXTERIOR",Database[[#This Row],[DIVISION '#]]))</f>
        <v>ARCH NOTES</v>
      </c>
      <c r="AI121" s="50" t="str">
        <f>IF(OR(Database[[#This Row],[KEYTIER1]]="INTERIOR",Database[[#This Row],[KEYTIER1]]="EXTERIOR"),"",Database[[#This Row],[DIVISION NAME]])</f>
        <v>BY CATEGORY</v>
      </c>
      <c r="AJ121" s="50" t="str">
        <f>IF(Database[[#This Row],[KEYTIER1]]="INTERIOR","INT",IF(Database[[#This Row],[KEYTIER1]]="EXTERIOR","EXT",Database[[#This Row],[SECTION '#]]))</f>
        <v>DETAIL ITEMS</v>
      </c>
      <c r="AK121" s="50" t="str">
        <f>IF(OR(Database[[#This Row],[KEYTIER2]]="INT",Database[[#This Row],[KEYTIER2]]="EXT"),"",IF(Database[[#This Row],[SECTION NAME]]="","",Database[[#This Row],[SECTION NAME]]))</f>
        <v/>
      </c>
    </row>
    <row r="122" spans="2:37" ht="43.5" x14ac:dyDescent="0.35">
      <c r="B122" s="50" t="s">
        <v>71</v>
      </c>
      <c r="C122" s="50" t="s">
        <v>72</v>
      </c>
      <c r="D122" s="50" t="s">
        <v>73</v>
      </c>
      <c r="E122" s="50" t="s">
        <v>86</v>
      </c>
      <c r="F122" s="53"/>
      <c r="G122" s="72">
        <v>401</v>
      </c>
      <c r="H122" s="53"/>
      <c r="I122" s="64"/>
      <c r="J122" s="52"/>
      <c r="K122" s="52"/>
      <c r="L122" s="52"/>
      <c r="M122" s="52"/>
      <c r="N122" s="54"/>
      <c r="O122" s="66"/>
      <c r="P122" s="51"/>
      <c r="Q122" s="51"/>
      <c r="R122" s="51"/>
      <c r="S122" s="51"/>
      <c r="T122" s="55"/>
      <c r="U122" s="69"/>
      <c r="V122" s="50"/>
      <c r="W122" s="50"/>
      <c r="X122" s="50"/>
      <c r="Y122" s="50"/>
      <c r="Z122" s="50"/>
      <c r="AA122" s="50"/>
      <c r="AB122" s="50"/>
      <c r="AC122" s="50">
        <f>IF(COUNTIF($C$3:C122,C122)=1,1,IF(COUNTIF($E$3:E122,E122)=1,2,0))</f>
        <v>2</v>
      </c>
      <c r="AD122" s="50">
        <f>IF(ISNUMBER(SEARCH("-",Database[[#This Row],[KEYNOTE '#]])),LEFT(Database[[#This Row],[KEYNOTE '#]],FIND("-",Database[[#This Row],[KEYNOTE '#]])-1),Database[[#This Row],[KEYNOTE '#]])</f>
        <v>401</v>
      </c>
      <c r="AE12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2" s="50" t="str">
        <f>IF(AND(ISNUMBER(SEARCH("-",Database[[#This Row],[KEYNOTE '#]]))=TRUE,ISNUMBER(--RIGHT(Database[[#This Row],[KEYNOTE '#]]))=FALSE),RIGHT(Database[[#This Row],[KEYNOTE '#]],1),"")</f>
        <v/>
      </c>
      <c r="AG122" s="50">
        <v>120</v>
      </c>
      <c r="AH122" s="50" t="str">
        <f>IF(COUNTIF(Database[[#This Row],[BASE]:[INT. OTHER]],"g"),"INTERIOR",IF(COUNTIF(Database[[#This Row],[ROOF]:[EXT. OTHER]],"n"),"EXTERIOR",Database[[#This Row],[DIVISION '#]]))</f>
        <v>ARCH NOTES</v>
      </c>
      <c r="AI122" s="50" t="str">
        <f>IF(OR(Database[[#This Row],[KEYTIER1]]="INTERIOR",Database[[#This Row],[KEYTIER1]]="EXTERIOR"),"",Database[[#This Row],[DIVISION NAME]])</f>
        <v>BY CATEGORY</v>
      </c>
      <c r="AJ122" s="50" t="str">
        <f>IF(Database[[#This Row],[KEYTIER1]]="INTERIOR","INT",IF(Database[[#This Row],[KEYTIER1]]="EXTERIOR","EXT",Database[[#This Row],[SECTION '#]]))</f>
        <v>DOORS</v>
      </c>
      <c r="AK122" s="50" t="str">
        <f>IF(OR(Database[[#This Row],[KEYTIER2]]="INT",Database[[#This Row],[KEYTIER2]]="EXT"),"",IF(Database[[#This Row],[SECTION NAME]]="","",Database[[#This Row],[SECTION NAME]]))</f>
        <v/>
      </c>
    </row>
    <row r="123" spans="2:37" ht="43.5" x14ac:dyDescent="0.35">
      <c r="B123" s="50" t="s">
        <v>71</v>
      </c>
      <c r="C123" s="50" t="s">
        <v>72</v>
      </c>
      <c r="D123" s="50" t="s">
        <v>73</v>
      </c>
      <c r="E123" s="50" t="s">
        <v>86</v>
      </c>
      <c r="F123" s="53"/>
      <c r="G123" s="72">
        <v>402</v>
      </c>
      <c r="H123" s="53"/>
      <c r="I123" s="64"/>
      <c r="J123" s="52"/>
      <c r="K123" s="52"/>
      <c r="L123" s="52"/>
      <c r="M123" s="52"/>
      <c r="N123" s="54"/>
      <c r="O123" s="66"/>
      <c r="P123" s="51"/>
      <c r="Q123" s="51"/>
      <c r="R123" s="51"/>
      <c r="S123" s="51"/>
      <c r="T123" s="55"/>
      <c r="U123" s="69"/>
      <c r="V123" s="50"/>
      <c r="W123" s="50"/>
      <c r="X123" s="50"/>
      <c r="Y123" s="50"/>
      <c r="Z123" s="50"/>
      <c r="AA123" s="50"/>
      <c r="AB123" s="50"/>
      <c r="AC123" s="50">
        <f>IF(COUNTIF($C$3:C123,C123)=1,1,IF(COUNTIF($E$3:E123,E123)=1,2,0))</f>
        <v>0</v>
      </c>
      <c r="AD123" s="50">
        <f>IF(ISNUMBER(SEARCH("-",Database[[#This Row],[KEYNOTE '#]])),LEFT(Database[[#This Row],[KEYNOTE '#]],FIND("-",Database[[#This Row],[KEYNOTE '#]])-1),Database[[#This Row],[KEYNOTE '#]])</f>
        <v>402</v>
      </c>
      <c r="AE12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3" s="50" t="str">
        <f>IF(AND(ISNUMBER(SEARCH("-",Database[[#This Row],[KEYNOTE '#]]))=TRUE,ISNUMBER(--RIGHT(Database[[#This Row],[KEYNOTE '#]]))=FALSE),RIGHT(Database[[#This Row],[KEYNOTE '#]],1),"")</f>
        <v/>
      </c>
      <c r="AG123" s="50">
        <v>121</v>
      </c>
      <c r="AH123" s="50" t="str">
        <f>IF(COUNTIF(Database[[#This Row],[BASE]:[INT. OTHER]],"g"),"INTERIOR",IF(COUNTIF(Database[[#This Row],[ROOF]:[EXT. OTHER]],"n"),"EXTERIOR",Database[[#This Row],[DIVISION '#]]))</f>
        <v>ARCH NOTES</v>
      </c>
      <c r="AI123" s="50" t="str">
        <f>IF(OR(Database[[#This Row],[KEYTIER1]]="INTERIOR",Database[[#This Row],[KEYTIER1]]="EXTERIOR"),"",Database[[#This Row],[DIVISION NAME]])</f>
        <v>BY CATEGORY</v>
      </c>
      <c r="AJ123" s="50" t="str">
        <f>IF(Database[[#This Row],[KEYTIER1]]="INTERIOR","INT",IF(Database[[#This Row],[KEYTIER1]]="EXTERIOR","EXT",Database[[#This Row],[SECTION '#]]))</f>
        <v>DOORS</v>
      </c>
      <c r="AK123" s="50" t="str">
        <f>IF(OR(Database[[#This Row],[KEYTIER2]]="INT",Database[[#This Row],[KEYTIER2]]="EXT"),"",IF(Database[[#This Row],[SECTION NAME]]="","",Database[[#This Row],[SECTION NAME]]))</f>
        <v/>
      </c>
    </row>
    <row r="124" spans="2:37" ht="43.5" x14ac:dyDescent="0.35">
      <c r="B124" s="50" t="s">
        <v>71</v>
      </c>
      <c r="C124" s="50" t="s">
        <v>72</v>
      </c>
      <c r="D124" s="50" t="s">
        <v>73</v>
      </c>
      <c r="E124" s="50" t="s">
        <v>86</v>
      </c>
      <c r="F124" s="53"/>
      <c r="G124" s="72">
        <v>403</v>
      </c>
      <c r="H124" s="53"/>
      <c r="I124" s="64"/>
      <c r="J124" s="52"/>
      <c r="K124" s="52"/>
      <c r="L124" s="52"/>
      <c r="M124" s="52"/>
      <c r="N124" s="54"/>
      <c r="O124" s="66"/>
      <c r="P124" s="51"/>
      <c r="Q124" s="51"/>
      <c r="R124" s="51"/>
      <c r="S124" s="51"/>
      <c r="T124" s="55"/>
      <c r="U124" s="69"/>
      <c r="V124" s="50"/>
      <c r="W124" s="50"/>
      <c r="X124" s="50"/>
      <c r="Y124" s="50"/>
      <c r="Z124" s="50"/>
      <c r="AA124" s="50"/>
      <c r="AB124" s="50"/>
      <c r="AC124" s="50">
        <f>IF(COUNTIF($C$3:C124,C124)=1,1,IF(COUNTIF($E$3:E124,E124)=1,2,0))</f>
        <v>0</v>
      </c>
      <c r="AD124" s="50">
        <f>IF(ISNUMBER(SEARCH("-",Database[[#This Row],[KEYNOTE '#]])),LEFT(Database[[#This Row],[KEYNOTE '#]],FIND("-",Database[[#This Row],[KEYNOTE '#]])-1),Database[[#This Row],[KEYNOTE '#]])</f>
        <v>403</v>
      </c>
      <c r="AE12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4" s="50" t="str">
        <f>IF(AND(ISNUMBER(SEARCH("-",Database[[#This Row],[KEYNOTE '#]]))=TRUE,ISNUMBER(--RIGHT(Database[[#This Row],[KEYNOTE '#]]))=FALSE),RIGHT(Database[[#This Row],[KEYNOTE '#]],1),"")</f>
        <v/>
      </c>
      <c r="AG124" s="50">
        <v>122</v>
      </c>
      <c r="AH124" s="50" t="str">
        <f>IF(COUNTIF(Database[[#This Row],[BASE]:[INT. OTHER]],"g"),"INTERIOR",IF(COUNTIF(Database[[#This Row],[ROOF]:[EXT. OTHER]],"n"),"EXTERIOR",Database[[#This Row],[DIVISION '#]]))</f>
        <v>ARCH NOTES</v>
      </c>
      <c r="AI124" s="50" t="str">
        <f>IF(OR(Database[[#This Row],[KEYTIER1]]="INTERIOR",Database[[#This Row],[KEYTIER1]]="EXTERIOR"),"",Database[[#This Row],[DIVISION NAME]])</f>
        <v>BY CATEGORY</v>
      </c>
      <c r="AJ124" s="50" t="str">
        <f>IF(Database[[#This Row],[KEYTIER1]]="INTERIOR","INT",IF(Database[[#This Row],[KEYTIER1]]="EXTERIOR","EXT",Database[[#This Row],[SECTION '#]]))</f>
        <v>DOORS</v>
      </c>
      <c r="AK124" s="50" t="str">
        <f>IF(OR(Database[[#This Row],[KEYTIER2]]="INT",Database[[#This Row],[KEYTIER2]]="EXT"),"",IF(Database[[#This Row],[SECTION NAME]]="","",Database[[#This Row],[SECTION NAME]]))</f>
        <v/>
      </c>
    </row>
    <row r="125" spans="2:37" ht="43.5" x14ac:dyDescent="0.35">
      <c r="B125" s="50" t="s">
        <v>71</v>
      </c>
      <c r="C125" s="50" t="s">
        <v>72</v>
      </c>
      <c r="D125" s="50" t="s">
        <v>73</v>
      </c>
      <c r="E125" s="50" t="s">
        <v>90</v>
      </c>
      <c r="F125" s="53"/>
      <c r="G125" s="72">
        <v>501</v>
      </c>
      <c r="H125" s="53"/>
      <c r="I125" s="64"/>
      <c r="J125" s="52"/>
      <c r="K125" s="52"/>
      <c r="L125" s="52"/>
      <c r="M125" s="52"/>
      <c r="N125" s="54"/>
      <c r="O125" s="66"/>
      <c r="P125" s="51"/>
      <c r="Q125" s="51"/>
      <c r="R125" s="51"/>
      <c r="S125" s="51"/>
      <c r="T125" s="55"/>
      <c r="U125" s="69"/>
      <c r="V125" s="50"/>
      <c r="W125" s="50"/>
      <c r="X125" s="50"/>
      <c r="Y125" s="50"/>
      <c r="Z125" s="50"/>
      <c r="AA125" s="50"/>
      <c r="AB125" s="50"/>
      <c r="AC125" s="50">
        <f>IF(COUNTIF($C$3:C125,C125)=1,1,IF(COUNTIF($E$3:E125,E125)=1,2,0))</f>
        <v>2</v>
      </c>
      <c r="AD125" s="50">
        <f>IF(ISNUMBER(SEARCH("-",Database[[#This Row],[KEYNOTE '#]])),LEFT(Database[[#This Row],[KEYNOTE '#]],FIND("-",Database[[#This Row],[KEYNOTE '#]])-1),Database[[#This Row],[KEYNOTE '#]])</f>
        <v>501</v>
      </c>
      <c r="AE12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5" s="50" t="str">
        <f>IF(AND(ISNUMBER(SEARCH("-",Database[[#This Row],[KEYNOTE '#]]))=TRUE,ISNUMBER(--RIGHT(Database[[#This Row],[KEYNOTE '#]]))=FALSE),RIGHT(Database[[#This Row],[KEYNOTE '#]],1),"")</f>
        <v/>
      </c>
      <c r="AG125" s="50">
        <v>123</v>
      </c>
      <c r="AH125" s="50" t="str">
        <f>IF(COUNTIF(Database[[#This Row],[BASE]:[INT. OTHER]],"g"),"INTERIOR",IF(COUNTIF(Database[[#This Row],[ROOF]:[EXT. OTHER]],"n"),"EXTERIOR",Database[[#This Row],[DIVISION '#]]))</f>
        <v>ARCH NOTES</v>
      </c>
      <c r="AI125" s="50" t="str">
        <f>IF(OR(Database[[#This Row],[KEYTIER1]]="INTERIOR",Database[[#This Row],[KEYTIER1]]="EXTERIOR"),"",Database[[#This Row],[DIVISION NAME]])</f>
        <v>BY CATEGORY</v>
      </c>
      <c r="AJ125" s="50" t="str">
        <f>IF(Database[[#This Row],[KEYTIER1]]="INTERIOR","INT",IF(Database[[#This Row],[KEYTIER1]]="EXTERIOR","EXT",Database[[#This Row],[SECTION '#]]))</f>
        <v>ELEVATORS</v>
      </c>
      <c r="AK125" s="50" t="str">
        <f>IF(OR(Database[[#This Row],[KEYTIER2]]="INT",Database[[#This Row],[KEYTIER2]]="EXT"),"",IF(Database[[#This Row],[SECTION NAME]]="","",Database[[#This Row],[SECTION NAME]]))</f>
        <v/>
      </c>
    </row>
    <row r="126" spans="2:37" ht="43.5" x14ac:dyDescent="0.35">
      <c r="B126" s="50" t="s">
        <v>71</v>
      </c>
      <c r="C126" s="50" t="s">
        <v>72</v>
      </c>
      <c r="D126" s="50" t="s">
        <v>73</v>
      </c>
      <c r="E126" s="50" t="s">
        <v>90</v>
      </c>
      <c r="F126" s="53"/>
      <c r="G126" s="72">
        <v>502</v>
      </c>
      <c r="H126" s="53"/>
      <c r="I126" s="64"/>
      <c r="J126" s="52"/>
      <c r="K126" s="52"/>
      <c r="L126" s="52"/>
      <c r="M126" s="52"/>
      <c r="N126" s="54"/>
      <c r="O126" s="66"/>
      <c r="P126" s="51"/>
      <c r="Q126" s="51"/>
      <c r="R126" s="51"/>
      <c r="S126" s="51"/>
      <c r="T126" s="55"/>
      <c r="U126" s="69"/>
      <c r="V126" s="50"/>
      <c r="W126" s="50"/>
      <c r="X126" s="50"/>
      <c r="Y126" s="50"/>
      <c r="Z126" s="50"/>
      <c r="AA126" s="50"/>
      <c r="AB126" s="50"/>
      <c r="AC126" s="50">
        <f>IF(COUNTIF($C$3:C126,C126)=1,1,IF(COUNTIF($E$3:E126,E126)=1,2,0))</f>
        <v>0</v>
      </c>
      <c r="AD126" s="50">
        <f>IF(ISNUMBER(SEARCH("-",Database[[#This Row],[KEYNOTE '#]])),LEFT(Database[[#This Row],[KEYNOTE '#]],FIND("-",Database[[#This Row],[KEYNOTE '#]])-1),Database[[#This Row],[KEYNOTE '#]])</f>
        <v>502</v>
      </c>
      <c r="AE12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6" s="50" t="str">
        <f>IF(AND(ISNUMBER(SEARCH("-",Database[[#This Row],[KEYNOTE '#]]))=TRUE,ISNUMBER(--RIGHT(Database[[#This Row],[KEYNOTE '#]]))=FALSE),RIGHT(Database[[#This Row],[KEYNOTE '#]],1),"")</f>
        <v/>
      </c>
      <c r="AG126" s="50">
        <v>124</v>
      </c>
      <c r="AH126" s="50" t="str">
        <f>IF(COUNTIF(Database[[#This Row],[BASE]:[INT. OTHER]],"g"),"INTERIOR",IF(COUNTIF(Database[[#This Row],[ROOF]:[EXT. OTHER]],"n"),"EXTERIOR",Database[[#This Row],[DIVISION '#]]))</f>
        <v>ARCH NOTES</v>
      </c>
      <c r="AI126" s="50" t="str">
        <f>IF(OR(Database[[#This Row],[KEYTIER1]]="INTERIOR",Database[[#This Row],[KEYTIER1]]="EXTERIOR"),"",Database[[#This Row],[DIVISION NAME]])</f>
        <v>BY CATEGORY</v>
      </c>
      <c r="AJ126" s="50" t="str">
        <f>IF(Database[[#This Row],[KEYTIER1]]="INTERIOR","INT",IF(Database[[#This Row],[KEYTIER1]]="EXTERIOR","EXT",Database[[#This Row],[SECTION '#]]))</f>
        <v>ELEVATORS</v>
      </c>
      <c r="AK126" s="50" t="str">
        <f>IF(OR(Database[[#This Row],[KEYTIER2]]="INT",Database[[#This Row],[KEYTIER2]]="EXT"),"",IF(Database[[#This Row],[SECTION NAME]]="","",Database[[#This Row],[SECTION NAME]]))</f>
        <v/>
      </c>
    </row>
    <row r="127" spans="2:37" ht="43.5" x14ac:dyDescent="0.35">
      <c r="B127" s="50" t="s">
        <v>71</v>
      </c>
      <c r="C127" s="50" t="s">
        <v>72</v>
      </c>
      <c r="D127" s="50" t="s">
        <v>73</v>
      </c>
      <c r="E127" s="50" t="s">
        <v>90</v>
      </c>
      <c r="F127" s="53"/>
      <c r="G127" s="72">
        <v>503</v>
      </c>
      <c r="H127" s="53"/>
      <c r="I127" s="64"/>
      <c r="J127" s="52"/>
      <c r="K127" s="52"/>
      <c r="L127" s="52"/>
      <c r="M127" s="52"/>
      <c r="N127" s="54"/>
      <c r="O127" s="66"/>
      <c r="P127" s="51"/>
      <c r="Q127" s="51"/>
      <c r="R127" s="51"/>
      <c r="S127" s="51"/>
      <c r="T127" s="55"/>
      <c r="U127" s="69"/>
      <c r="V127" s="50"/>
      <c r="W127" s="50"/>
      <c r="X127" s="50"/>
      <c r="Y127" s="50"/>
      <c r="Z127" s="50"/>
      <c r="AA127" s="50"/>
      <c r="AB127" s="50"/>
      <c r="AC127" s="50">
        <f>IF(COUNTIF($C$3:C127,C127)=1,1,IF(COUNTIF($E$3:E127,E127)=1,2,0))</f>
        <v>0</v>
      </c>
      <c r="AD127" s="50">
        <f>IF(ISNUMBER(SEARCH("-",Database[[#This Row],[KEYNOTE '#]])),LEFT(Database[[#This Row],[KEYNOTE '#]],FIND("-",Database[[#This Row],[KEYNOTE '#]])-1),Database[[#This Row],[KEYNOTE '#]])</f>
        <v>503</v>
      </c>
      <c r="AE12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7" s="50" t="str">
        <f>IF(AND(ISNUMBER(SEARCH("-",Database[[#This Row],[KEYNOTE '#]]))=TRUE,ISNUMBER(--RIGHT(Database[[#This Row],[KEYNOTE '#]]))=FALSE),RIGHT(Database[[#This Row],[KEYNOTE '#]],1),"")</f>
        <v/>
      </c>
      <c r="AG127" s="50">
        <v>125</v>
      </c>
      <c r="AH127" s="50" t="str">
        <f>IF(COUNTIF(Database[[#This Row],[BASE]:[INT. OTHER]],"g"),"INTERIOR",IF(COUNTIF(Database[[#This Row],[ROOF]:[EXT. OTHER]],"n"),"EXTERIOR",Database[[#This Row],[DIVISION '#]]))</f>
        <v>ARCH NOTES</v>
      </c>
      <c r="AI127" s="50" t="str">
        <f>IF(OR(Database[[#This Row],[KEYTIER1]]="INTERIOR",Database[[#This Row],[KEYTIER1]]="EXTERIOR"),"",Database[[#This Row],[DIVISION NAME]])</f>
        <v>BY CATEGORY</v>
      </c>
      <c r="AJ127" s="50" t="str">
        <f>IF(Database[[#This Row],[KEYTIER1]]="INTERIOR","INT",IF(Database[[#This Row],[KEYTIER1]]="EXTERIOR","EXT",Database[[#This Row],[SECTION '#]]))</f>
        <v>ELEVATORS</v>
      </c>
      <c r="AK127" s="50" t="str">
        <f>IF(OR(Database[[#This Row],[KEYTIER2]]="INT",Database[[#This Row],[KEYTIER2]]="EXT"),"",IF(Database[[#This Row],[SECTION NAME]]="","",Database[[#This Row],[SECTION NAME]]))</f>
        <v/>
      </c>
    </row>
    <row r="128" spans="2:37" ht="43.5" x14ac:dyDescent="0.35">
      <c r="B128" s="50" t="s">
        <v>71</v>
      </c>
      <c r="C128" s="50" t="s">
        <v>72</v>
      </c>
      <c r="D128" s="50" t="s">
        <v>73</v>
      </c>
      <c r="E128" s="50" t="s">
        <v>94</v>
      </c>
      <c r="F128" s="53"/>
      <c r="G128" s="72">
        <v>601</v>
      </c>
      <c r="H128" s="53"/>
      <c r="I128" s="64"/>
      <c r="J128" s="52"/>
      <c r="K128" s="52"/>
      <c r="L128" s="52"/>
      <c r="M128" s="52"/>
      <c r="N128" s="54"/>
      <c r="O128" s="66"/>
      <c r="P128" s="51"/>
      <c r="Q128" s="51"/>
      <c r="R128" s="51"/>
      <c r="S128" s="51"/>
      <c r="T128" s="55"/>
      <c r="U128" s="69"/>
      <c r="V128" s="50"/>
      <c r="W128" s="50"/>
      <c r="X128" s="50"/>
      <c r="Y128" s="50"/>
      <c r="Z128" s="50"/>
      <c r="AA128" s="50"/>
      <c r="AB128" s="50"/>
      <c r="AC128" s="50">
        <f>IF(COUNTIF($C$3:C128,C128)=1,1,IF(COUNTIF($E$3:E128,E128)=1,2,0))</f>
        <v>2</v>
      </c>
      <c r="AD128" s="50">
        <f>IF(ISNUMBER(SEARCH("-",Database[[#This Row],[KEYNOTE '#]])),LEFT(Database[[#This Row],[KEYNOTE '#]],FIND("-",Database[[#This Row],[KEYNOTE '#]])-1),Database[[#This Row],[KEYNOTE '#]])</f>
        <v>601</v>
      </c>
      <c r="AE12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8" s="50" t="str">
        <f>IF(AND(ISNUMBER(SEARCH("-",Database[[#This Row],[KEYNOTE '#]]))=TRUE,ISNUMBER(--RIGHT(Database[[#This Row],[KEYNOTE '#]]))=FALSE),RIGHT(Database[[#This Row],[KEYNOTE '#]],1),"")</f>
        <v/>
      </c>
      <c r="AG128" s="50">
        <v>126</v>
      </c>
      <c r="AH128" s="50" t="str">
        <f>IF(COUNTIF(Database[[#This Row],[BASE]:[INT. OTHER]],"g"),"INTERIOR",IF(COUNTIF(Database[[#This Row],[ROOF]:[EXT. OTHER]],"n"),"EXTERIOR",Database[[#This Row],[DIVISION '#]]))</f>
        <v>ARCH NOTES</v>
      </c>
      <c r="AI128" s="50" t="str">
        <f>IF(OR(Database[[#This Row],[KEYTIER1]]="INTERIOR",Database[[#This Row],[KEYTIER1]]="EXTERIOR"),"",Database[[#This Row],[DIVISION NAME]])</f>
        <v>BY CATEGORY</v>
      </c>
      <c r="AJ128" s="50" t="str">
        <f>IF(Database[[#This Row],[KEYTIER1]]="INTERIOR","INT",IF(Database[[#This Row],[KEYTIER1]]="EXTERIOR","EXT",Database[[#This Row],[SECTION '#]]))</f>
        <v>EQUIPMENT</v>
      </c>
      <c r="AK128" s="50" t="str">
        <f>IF(OR(Database[[#This Row],[KEYTIER2]]="INT",Database[[#This Row],[KEYTIER2]]="EXT"),"",IF(Database[[#This Row],[SECTION NAME]]="","",Database[[#This Row],[SECTION NAME]]))</f>
        <v/>
      </c>
    </row>
    <row r="129" spans="2:37" ht="43.5" x14ac:dyDescent="0.35">
      <c r="B129" s="50" t="s">
        <v>71</v>
      </c>
      <c r="C129" s="50" t="s">
        <v>72</v>
      </c>
      <c r="D129" s="50" t="s">
        <v>73</v>
      </c>
      <c r="E129" s="50" t="s">
        <v>94</v>
      </c>
      <c r="F129" s="53"/>
      <c r="G129" s="72">
        <v>602</v>
      </c>
      <c r="H129" s="53"/>
      <c r="I129" s="64"/>
      <c r="J129" s="52"/>
      <c r="K129" s="52"/>
      <c r="L129" s="52"/>
      <c r="M129" s="52"/>
      <c r="N129" s="54"/>
      <c r="O129" s="66"/>
      <c r="P129" s="51"/>
      <c r="Q129" s="51"/>
      <c r="R129" s="51"/>
      <c r="S129" s="51"/>
      <c r="T129" s="55"/>
      <c r="U129" s="69"/>
      <c r="V129" s="50"/>
      <c r="W129" s="50"/>
      <c r="X129" s="50"/>
      <c r="Y129" s="50"/>
      <c r="Z129" s="50"/>
      <c r="AA129" s="50"/>
      <c r="AB129" s="50"/>
      <c r="AC129" s="50">
        <f>IF(COUNTIF($C$3:C129,C129)=1,1,IF(COUNTIF($E$3:E129,E129)=1,2,0))</f>
        <v>0</v>
      </c>
      <c r="AD129" s="50">
        <f>IF(ISNUMBER(SEARCH("-",Database[[#This Row],[KEYNOTE '#]])),LEFT(Database[[#This Row],[KEYNOTE '#]],FIND("-",Database[[#This Row],[KEYNOTE '#]])-1),Database[[#This Row],[KEYNOTE '#]])</f>
        <v>602</v>
      </c>
      <c r="AE12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9" s="50" t="str">
        <f>IF(AND(ISNUMBER(SEARCH("-",Database[[#This Row],[KEYNOTE '#]]))=TRUE,ISNUMBER(--RIGHT(Database[[#This Row],[KEYNOTE '#]]))=FALSE),RIGHT(Database[[#This Row],[KEYNOTE '#]],1),"")</f>
        <v/>
      </c>
      <c r="AG129" s="50">
        <v>127</v>
      </c>
      <c r="AH129" s="50" t="str">
        <f>IF(COUNTIF(Database[[#This Row],[BASE]:[INT. OTHER]],"g"),"INTERIOR",IF(COUNTIF(Database[[#This Row],[ROOF]:[EXT. OTHER]],"n"),"EXTERIOR",Database[[#This Row],[DIVISION '#]]))</f>
        <v>ARCH NOTES</v>
      </c>
      <c r="AI129" s="50" t="str">
        <f>IF(OR(Database[[#This Row],[KEYTIER1]]="INTERIOR",Database[[#This Row],[KEYTIER1]]="EXTERIOR"),"",Database[[#This Row],[DIVISION NAME]])</f>
        <v>BY CATEGORY</v>
      </c>
      <c r="AJ129" s="50" t="str">
        <f>IF(Database[[#This Row],[KEYTIER1]]="INTERIOR","INT",IF(Database[[#This Row],[KEYTIER1]]="EXTERIOR","EXT",Database[[#This Row],[SECTION '#]]))</f>
        <v>EQUIPMENT</v>
      </c>
      <c r="AK129" s="50" t="str">
        <f>IF(OR(Database[[#This Row],[KEYTIER2]]="INT",Database[[#This Row],[KEYTIER2]]="EXT"),"",IF(Database[[#This Row],[SECTION NAME]]="","",Database[[#This Row],[SECTION NAME]]))</f>
        <v/>
      </c>
    </row>
    <row r="130" spans="2:37" ht="43.5" x14ac:dyDescent="0.35">
      <c r="B130" s="50" t="s">
        <v>71</v>
      </c>
      <c r="C130" s="50" t="s">
        <v>72</v>
      </c>
      <c r="D130" s="50" t="s">
        <v>73</v>
      </c>
      <c r="E130" s="50" t="s">
        <v>94</v>
      </c>
      <c r="F130" s="53"/>
      <c r="G130" s="72">
        <v>603</v>
      </c>
      <c r="H130" s="53"/>
      <c r="I130" s="64"/>
      <c r="J130" s="52"/>
      <c r="K130" s="52"/>
      <c r="L130" s="52"/>
      <c r="M130" s="52"/>
      <c r="N130" s="54"/>
      <c r="O130" s="66"/>
      <c r="P130" s="51"/>
      <c r="Q130" s="51"/>
      <c r="R130" s="51"/>
      <c r="S130" s="51"/>
      <c r="T130" s="55"/>
      <c r="U130" s="69"/>
      <c r="V130" s="50"/>
      <c r="W130" s="50"/>
      <c r="X130" s="50"/>
      <c r="Y130" s="50"/>
      <c r="Z130" s="50"/>
      <c r="AA130" s="50"/>
      <c r="AB130" s="50"/>
      <c r="AC130" s="50">
        <f>IF(COUNTIF($C$3:C130,C130)=1,1,IF(COUNTIF($E$3:E130,E130)=1,2,0))</f>
        <v>0</v>
      </c>
      <c r="AD130" s="50">
        <f>IF(ISNUMBER(SEARCH("-",Database[[#This Row],[KEYNOTE '#]])),LEFT(Database[[#This Row],[KEYNOTE '#]],FIND("-",Database[[#This Row],[KEYNOTE '#]])-1),Database[[#This Row],[KEYNOTE '#]])</f>
        <v>603</v>
      </c>
      <c r="AE13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0" s="50" t="str">
        <f>IF(AND(ISNUMBER(SEARCH("-",Database[[#This Row],[KEYNOTE '#]]))=TRUE,ISNUMBER(--RIGHT(Database[[#This Row],[KEYNOTE '#]]))=FALSE),RIGHT(Database[[#This Row],[KEYNOTE '#]],1),"")</f>
        <v/>
      </c>
      <c r="AG130" s="50">
        <v>128</v>
      </c>
      <c r="AH130" s="50" t="str">
        <f>IF(COUNTIF(Database[[#This Row],[BASE]:[INT. OTHER]],"g"),"INTERIOR",IF(COUNTIF(Database[[#This Row],[ROOF]:[EXT. OTHER]],"n"),"EXTERIOR",Database[[#This Row],[DIVISION '#]]))</f>
        <v>ARCH NOTES</v>
      </c>
      <c r="AI130" s="50" t="str">
        <f>IF(OR(Database[[#This Row],[KEYTIER1]]="INTERIOR",Database[[#This Row],[KEYTIER1]]="EXTERIOR"),"",Database[[#This Row],[DIVISION NAME]])</f>
        <v>BY CATEGORY</v>
      </c>
      <c r="AJ130" s="50" t="str">
        <f>IF(Database[[#This Row],[KEYTIER1]]="INTERIOR","INT",IF(Database[[#This Row],[KEYTIER1]]="EXTERIOR","EXT",Database[[#This Row],[SECTION '#]]))</f>
        <v>EQUIPMENT</v>
      </c>
      <c r="AK130" s="50" t="str">
        <f>IF(OR(Database[[#This Row],[KEYTIER2]]="INT",Database[[#This Row],[KEYTIER2]]="EXT"),"",IF(Database[[#This Row],[SECTION NAME]]="","",Database[[#This Row],[SECTION NAME]]))</f>
        <v/>
      </c>
    </row>
    <row r="131" spans="2:37" ht="43.5" x14ac:dyDescent="0.35">
      <c r="B131" s="50" t="s">
        <v>71</v>
      </c>
      <c r="C131" s="50" t="s">
        <v>72</v>
      </c>
      <c r="D131" s="50" t="s">
        <v>73</v>
      </c>
      <c r="E131" s="50" t="s">
        <v>95</v>
      </c>
      <c r="F131" s="53"/>
      <c r="G131" s="72">
        <v>701</v>
      </c>
      <c r="H131" s="53"/>
      <c r="I131" s="64"/>
      <c r="J131" s="52"/>
      <c r="K131" s="52"/>
      <c r="L131" s="52"/>
      <c r="M131" s="52"/>
      <c r="N131" s="54"/>
      <c r="O131" s="66"/>
      <c r="P131" s="51"/>
      <c r="Q131" s="51"/>
      <c r="R131" s="51"/>
      <c r="S131" s="51"/>
      <c r="T131" s="55"/>
      <c r="U131" s="69"/>
      <c r="V131" s="50"/>
      <c r="W131" s="50"/>
      <c r="X131" s="50"/>
      <c r="Y131" s="50"/>
      <c r="Z131" s="50"/>
      <c r="AA131" s="50"/>
      <c r="AB131" s="50"/>
      <c r="AC131" s="50">
        <f>IF(COUNTIF($C$3:C131,C131)=1,1,IF(COUNTIF($E$3:E131,E131)=1,2,0))</f>
        <v>2</v>
      </c>
      <c r="AD131" s="50">
        <f>IF(ISNUMBER(SEARCH("-",Database[[#This Row],[KEYNOTE '#]])),LEFT(Database[[#This Row],[KEYNOTE '#]],FIND("-",Database[[#This Row],[KEYNOTE '#]])-1),Database[[#This Row],[KEYNOTE '#]])</f>
        <v>701</v>
      </c>
      <c r="AE13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1" s="50" t="str">
        <f>IF(AND(ISNUMBER(SEARCH("-",Database[[#This Row],[KEYNOTE '#]]))=TRUE,ISNUMBER(--RIGHT(Database[[#This Row],[KEYNOTE '#]]))=FALSE),RIGHT(Database[[#This Row],[KEYNOTE '#]],1),"")</f>
        <v/>
      </c>
      <c r="AG131" s="50">
        <v>129</v>
      </c>
      <c r="AH131" s="50" t="str">
        <f>IF(COUNTIF(Database[[#This Row],[BASE]:[INT. OTHER]],"g"),"INTERIOR",IF(COUNTIF(Database[[#This Row],[ROOF]:[EXT. OTHER]],"n"),"EXTERIOR",Database[[#This Row],[DIVISION '#]]))</f>
        <v>ARCH NOTES</v>
      </c>
      <c r="AI131" s="50" t="str">
        <f>IF(OR(Database[[#This Row],[KEYTIER1]]="INTERIOR",Database[[#This Row],[KEYTIER1]]="EXTERIOR"),"",Database[[#This Row],[DIVISION NAME]])</f>
        <v>BY CATEGORY</v>
      </c>
      <c r="AJ131" s="50" t="str">
        <f>IF(Database[[#This Row],[KEYTIER1]]="INTERIOR","INT",IF(Database[[#This Row],[KEYTIER1]]="EXTERIOR","EXT",Database[[#This Row],[SECTION '#]]))</f>
        <v>FLOORS</v>
      </c>
      <c r="AK131" s="50" t="str">
        <f>IF(OR(Database[[#This Row],[KEYTIER2]]="INT",Database[[#This Row],[KEYTIER2]]="EXT"),"",IF(Database[[#This Row],[SECTION NAME]]="","",Database[[#This Row],[SECTION NAME]]))</f>
        <v/>
      </c>
    </row>
    <row r="132" spans="2:37" ht="43.5" x14ac:dyDescent="0.35">
      <c r="B132" s="50" t="s">
        <v>71</v>
      </c>
      <c r="C132" s="50" t="s">
        <v>72</v>
      </c>
      <c r="D132" s="50" t="s">
        <v>73</v>
      </c>
      <c r="E132" s="50" t="s">
        <v>95</v>
      </c>
      <c r="F132" s="53"/>
      <c r="G132" s="72">
        <v>702</v>
      </c>
      <c r="H132" s="53"/>
      <c r="I132" s="64"/>
      <c r="J132" s="52"/>
      <c r="K132" s="52"/>
      <c r="L132" s="52"/>
      <c r="M132" s="52"/>
      <c r="N132" s="54"/>
      <c r="O132" s="66"/>
      <c r="P132" s="51"/>
      <c r="Q132" s="51"/>
      <c r="R132" s="51"/>
      <c r="S132" s="51"/>
      <c r="T132" s="55"/>
      <c r="U132" s="69"/>
      <c r="V132" s="50"/>
      <c r="W132" s="50"/>
      <c r="X132" s="50"/>
      <c r="Y132" s="50"/>
      <c r="Z132" s="50"/>
      <c r="AA132" s="50"/>
      <c r="AB132" s="50"/>
      <c r="AC132" s="50">
        <f>IF(COUNTIF($C$3:C132,C132)=1,1,IF(COUNTIF($E$3:E132,E132)=1,2,0))</f>
        <v>0</v>
      </c>
      <c r="AD132" s="50">
        <f>IF(ISNUMBER(SEARCH("-",Database[[#This Row],[KEYNOTE '#]])),LEFT(Database[[#This Row],[KEYNOTE '#]],FIND("-",Database[[#This Row],[KEYNOTE '#]])-1),Database[[#This Row],[KEYNOTE '#]])</f>
        <v>702</v>
      </c>
      <c r="AE13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2" s="50" t="str">
        <f>IF(AND(ISNUMBER(SEARCH("-",Database[[#This Row],[KEYNOTE '#]]))=TRUE,ISNUMBER(--RIGHT(Database[[#This Row],[KEYNOTE '#]]))=FALSE),RIGHT(Database[[#This Row],[KEYNOTE '#]],1),"")</f>
        <v/>
      </c>
      <c r="AG132" s="50">
        <v>130</v>
      </c>
      <c r="AH132" s="50" t="str">
        <f>IF(COUNTIF(Database[[#This Row],[BASE]:[INT. OTHER]],"g"),"INTERIOR",IF(COUNTIF(Database[[#This Row],[ROOF]:[EXT. OTHER]],"n"),"EXTERIOR",Database[[#This Row],[DIVISION '#]]))</f>
        <v>ARCH NOTES</v>
      </c>
      <c r="AI132" s="50" t="str">
        <f>IF(OR(Database[[#This Row],[KEYTIER1]]="INTERIOR",Database[[#This Row],[KEYTIER1]]="EXTERIOR"),"",Database[[#This Row],[DIVISION NAME]])</f>
        <v>BY CATEGORY</v>
      </c>
      <c r="AJ132" s="50" t="str">
        <f>IF(Database[[#This Row],[KEYTIER1]]="INTERIOR","INT",IF(Database[[#This Row],[KEYTIER1]]="EXTERIOR","EXT",Database[[#This Row],[SECTION '#]]))</f>
        <v>FLOORS</v>
      </c>
      <c r="AK132" s="50" t="str">
        <f>IF(OR(Database[[#This Row],[KEYTIER2]]="INT",Database[[#This Row],[KEYTIER2]]="EXT"),"",IF(Database[[#This Row],[SECTION NAME]]="","",Database[[#This Row],[SECTION NAME]]))</f>
        <v/>
      </c>
    </row>
    <row r="133" spans="2:37" ht="43.5" x14ac:dyDescent="0.35">
      <c r="B133" s="50" t="s">
        <v>71</v>
      </c>
      <c r="C133" s="50" t="s">
        <v>72</v>
      </c>
      <c r="D133" s="50" t="s">
        <v>73</v>
      </c>
      <c r="E133" s="50" t="s">
        <v>95</v>
      </c>
      <c r="F133" s="53"/>
      <c r="G133" s="72">
        <v>703</v>
      </c>
      <c r="H133" s="53"/>
      <c r="I133" s="64"/>
      <c r="J133" s="52"/>
      <c r="K133" s="52"/>
      <c r="L133" s="52"/>
      <c r="M133" s="52"/>
      <c r="N133" s="54"/>
      <c r="O133" s="66"/>
      <c r="P133" s="51"/>
      <c r="Q133" s="51"/>
      <c r="R133" s="51"/>
      <c r="S133" s="51"/>
      <c r="T133" s="55"/>
      <c r="U133" s="69"/>
      <c r="V133" s="50"/>
      <c r="W133" s="50"/>
      <c r="X133" s="50"/>
      <c r="Y133" s="50"/>
      <c r="Z133" s="50"/>
      <c r="AA133" s="50"/>
      <c r="AB133" s="50"/>
      <c r="AC133" s="50">
        <f>IF(COUNTIF($C$3:C133,C133)=1,1,IF(COUNTIF($E$3:E133,E133)=1,2,0))</f>
        <v>0</v>
      </c>
      <c r="AD133" s="50">
        <f>IF(ISNUMBER(SEARCH("-",Database[[#This Row],[KEYNOTE '#]])),LEFT(Database[[#This Row],[KEYNOTE '#]],FIND("-",Database[[#This Row],[KEYNOTE '#]])-1),Database[[#This Row],[KEYNOTE '#]])</f>
        <v>703</v>
      </c>
      <c r="AE13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3" s="50" t="str">
        <f>IF(AND(ISNUMBER(SEARCH("-",Database[[#This Row],[KEYNOTE '#]]))=TRUE,ISNUMBER(--RIGHT(Database[[#This Row],[KEYNOTE '#]]))=FALSE),RIGHT(Database[[#This Row],[KEYNOTE '#]],1),"")</f>
        <v/>
      </c>
      <c r="AG133" s="50">
        <v>131</v>
      </c>
      <c r="AH133" s="50" t="str">
        <f>IF(COUNTIF(Database[[#This Row],[BASE]:[INT. OTHER]],"g"),"INTERIOR",IF(COUNTIF(Database[[#This Row],[ROOF]:[EXT. OTHER]],"n"),"EXTERIOR",Database[[#This Row],[DIVISION '#]]))</f>
        <v>ARCH NOTES</v>
      </c>
      <c r="AI133" s="50" t="str">
        <f>IF(OR(Database[[#This Row],[KEYTIER1]]="INTERIOR",Database[[#This Row],[KEYTIER1]]="EXTERIOR"),"",Database[[#This Row],[DIVISION NAME]])</f>
        <v>BY CATEGORY</v>
      </c>
      <c r="AJ133" s="50" t="str">
        <f>IF(Database[[#This Row],[KEYTIER1]]="INTERIOR","INT",IF(Database[[#This Row],[KEYTIER1]]="EXTERIOR","EXT",Database[[#This Row],[SECTION '#]]))</f>
        <v>FLOORS</v>
      </c>
      <c r="AK133" s="50" t="str">
        <f>IF(OR(Database[[#This Row],[KEYTIER2]]="INT",Database[[#This Row],[KEYTIER2]]="EXT"),"",IF(Database[[#This Row],[SECTION NAME]]="","",Database[[#This Row],[SECTION NAME]]))</f>
        <v/>
      </c>
    </row>
    <row r="134" spans="2:37" ht="43.5" x14ac:dyDescent="0.35">
      <c r="B134" s="50" t="s">
        <v>71</v>
      </c>
      <c r="C134" s="50" t="s">
        <v>72</v>
      </c>
      <c r="D134" s="50" t="s">
        <v>73</v>
      </c>
      <c r="E134" s="50" t="s">
        <v>97</v>
      </c>
      <c r="F134" s="53"/>
      <c r="G134" s="72">
        <v>801</v>
      </c>
      <c r="H134" s="53"/>
      <c r="I134" s="64"/>
      <c r="J134" s="52"/>
      <c r="K134" s="52"/>
      <c r="L134" s="52"/>
      <c r="M134" s="52"/>
      <c r="N134" s="54"/>
      <c r="O134" s="66"/>
      <c r="P134" s="51"/>
      <c r="Q134" s="51"/>
      <c r="R134" s="51"/>
      <c r="S134" s="51"/>
      <c r="T134" s="55"/>
      <c r="U134" s="69"/>
      <c r="V134" s="50"/>
      <c r="W134" s="50"/>
      <c r="X134" s="50"/>
      <c r="Y134" s="50"/>
      <c r="Z134" s="50"/>
      <c r="AA134" s="50"/>
      <c r="AB134" s="50"/>
      <c r="AC134" s="50">
        <f>IF(COUNTIF($C$3:C134,C134)=1,1,IF(COUNTIF($E$3:E134,E134)=1,2,0))</f>
        <v>2</v>
      </c>
      <c r="AD134" s="50">
        <f>IF(ISNUMBER(SEARCH("-",Database[[#This Row],[KEYNOTE '#]])),LEFT(Database[[#This Row],[KEYNOTE '#]],FIND("-",Database[[#This Row],[KEYNOTE '#]])-1),Database[[#This Row],[KEYNOTE '#]])</f>
        <v>801</v>
      </c>
      <c r="AE13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4" s="50" t="str">
        <f>IF(AND(ISNUMBER(SEARCH("-",Database[[#This Row],[KEYNOTE '#]]))=TRUE,ISNUMBER(--RIGHT(Database[[#This Row],[KEYNOTE '#]]))=FALSE),RIGHT(Database[[#This Row],[KEYNOTE '#]],1),"")</f>
        <v/>
      </c>
      <c r="AG134" s="50">
        <v>132</v>
      </c>
      <c r="AH134" s="50" t="str">
        <f>IF(COUNTIF(Database[[#This Row],[BASE]:[INT. OTHER]],"g"),"INTERIOR",IF(COUNTIF(Database[[#This Row],[ROOF]:[EXT. OTHER]],"n"),"EXTERIOR",Database[[#This Row],[DIVISION '#]]))</f>
        <v>ARCH NOTES</v>
      </c>
      <c r="AI134" s="50" t="str">
        <f>IF(OR(Database[[#This Row],[KEYTIER1]]="INTERIOR",Database[[#This Row],[KEYTIER1]]="EXTERIOR"),"",Database[[#This Row],[DIVISION NAME]])</f>
        <v>BY CATEGORY</v>
      </c>
      <c r="AJ134" s="50" t="str">
        <f>IF(Database[[#This Row],[KEYTIER1]]="INTERIOR","INT",IF(Database[[#This Row],[KEYTIER1]]="EXTERIOR","EXT",Database[[#This Row],[SECTION '#]]))</f>
        <v>FURNITURE</v>
      </c>
      <c r="AK134" s="50" t="str">
        <f>IF(OR(Database[[#This Row],[KEYTIER2]]="INT",Database[[#This Row],[KEYTIER2]]="EXT"),"",IF(Database[[#This Row],[SECTION NAME]]="","",Database[[#This Row],[SECTION NAME]]))</f>
        <v/>
      </c>
    </row>
    <row r="135" spans="2:37" ht="43.5" x14ac:dyDescent="0.35">
      <c r="B135" s="50" t="s">
        <v>71</v>
      </c>
      <c r="C135" s="50" t="s">
        <v>72</v>
      </c>
      <c r="D135" s="50" t="s">
        <v>73</v>
      </c>
      <c r="E135" s="50" t="s">
        <v>97</v>
      </c>
      <c r="F135" s="53"/>
      <c r="G135" s="72">
        <v>802</v>
      </c>
      <c r="H135" s="53"/>
      <c r="I135" s="64"/>
      <c r="J135" s="52"/>
      <c r="K135" s="52"/>
      <c r="L135" s="52"/>
      <c r="M135" s="52"/>
      <c r="N135" s="54"/>
      <c r="O135" s="66"/>
      <c r="P135" s="51"/>
      <c r="Q135" s="51"/>
      <c r="R135" s="51"/>
      <c r="S135" s="51"/>
      <c r="T135" s="55"/>
      <c r="U135" s="69"/>
      <c r="V135" s="50"/>
      <c r="W135" s="50"/>
      <c r="X135" s="50"/>
      <c r="Y135" s="50"/>
      <c r="Z135" s="50"/>
      <c r="AA135" s="50"/>
      <c r="AB135" s="50"/>
      <c r="AC135" s="50">
        <f>IF(COUNTIF($C$3:C135,C135)=1,1,IF(COUNTIF($E$3:E135,E135)=1,2,0))</f>
        <v>0</v>
      </c>
      <c r="AD135" s="50">
        <f>IF(ISNUMBER(SEARCH("-",Database[[#This Row],[KEYNOTE '#]])),LEFT(Database[[#This Row],[KEYNOTE '#]],FIND("-",Database[[#This Row],[KEYNOTE '#]])-1),Database[[#This Row],[KEYNOTE '#]])</f>
        <v>802</v>
      </c>
      <c r="AE13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5" s="50" t="str">
        <f>IF(AND(ISNUMBER(SEARCH("-",Database[[#This Row],[KEYNOTE '#]]))=TRUE,ISNUMBER(--RIGHT(Database[[#This Row],[KEYNOTE '#]]))=FALSE),RIGHT(Database[[#This Row],[KEYNOTE '#]],1),"")</f>
        <v/>
      </c>
      <c r="AG135" s="50">
        <v>133</v>
      </c>
      <c r="AH135" s="50" t="str">
        <f>IF(COUNTIF(Database[[#This Row],[BASE]:[INT. OTHER]],"g"),"INTERIOR",IF(COUNTIF(Database[[#This Row],[ROOF]:[EXT. OTHER]],"n"),"EXTERIOR",Database[[#This Row],[DIVISION '#]]))</f>
        <v>ARCH NOTES</v>
      </c>
      <c r="AI135" s="50" t="str">
        <f>IF(OR(Database[[#This Row],[KEYTIER1]]="INTERIOR",Database[[#This Row],[KEYTIER1]]="EXTERIOR"),"",Database[[#This Row],[DIVISION NAME]])</f>
        <v>BY CATEGORY</v>
      </c>
      <c r="AJ135" s="50" t="str">
        <f>IF(Database[[#This Row],[KEYTIER1]]="INTERIOR","INT",IF(Database[[#This Row],[KEYTIER1]]="EXTERIOR","EXT",Database[[#This Row],[SECTION '#]]))</f>
        <v>FURNITURE</v>
      </c>
      <c r="AK135" s="50" t="str">
        <f>IF(OR(Database[[#This Row],[KEYTIER2]]="INT",Database[[#This Row],[KEYTIER2]]="EXT"),"",IF(Database[[#This Row],[SECTION NAME]]="","",Database[[#This Row],[SECTION NAME]]))</f>
        <v/>
      </c>
    </row>
    <row r="136" spans="2:37" ht="58" x14ac:dyDescent="0.35">
      <c r="B136" s="50" t="s">
        <v>71</v>
      </c>
      <c r="C136" s="50" t="s">
        <v>72</v>
      </c>
      <c r="D136" s="50" t="s">
        <v>73</v>
      </c>
      <c r="E136" s="50" t="s">
        <v>98</v>
      </c>
      <c r="F136" s="53"/>
      <c r="G136" s="72">
        <v>901</v>
      </c>
      <c r="H136" s="53" t="s">
        <v>100</v>
      </c>
      <c r="I136" s="64"/>
      <c r="J136" s="52"/>
      <c r="K136" s="52"/>
      <c r="L136" s="52"/>
      <c r="M136" s="52"/>
      <c r="N136" s="54"/>
      <c r="O136" s="66"/>
      <c r="P136" s="51"/>
      <c r="Q136" s="51"/>
      <c r="R136" s="51"/>
      <c r="S136" s="51"/>
      <c r="T136" s="55"/>
      <c r="U136" s="69"/>
      <c r="V136" s="50"/>
      <c r="W136" s="50"/>
      <c r="X136" s="50"/>
      <c r="Y136" s="50"/>
      <c r="Z136" s="50"/>
      <c r="AA136" s="50"/>
      <c r="AB136" s="50"/>
      <c r="AC136" s="50">
        <f>IF(COUNTIF($C$3:C136,C136)=1,1,IF(COUNTIF($E$3:E136,E136)=1,2,0))</f>
        <v>2</v>
      </c>
      <c r="AD136" s="50">
        <f>IF(ISNUMBER(SEARCH("-",Database[[#This Row],[KEYNOTE '#]])),LEFT(Database[[#This Row],[KEYNOTE '#]],FIND("-",Database[[#This Row],[KEYNOTE '#]])-1),Database[[#This Row],[KEYNOTE '#]])</f>
        <v>901</v>
      </c>
      <c r="AE13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6" s="50" t="str">
        <f>IF(AND(ISNUMBER(SEARCH("-",Database[[#This Row],[KEYNOTE '#]]))=TRUE,ISNUMBER(--RIGHT(Database[[#This Row],[KEYNOTE '#]]))=FALSE),RIGHT(Database[[#This Row],[KEYNOTE '#]],1),"")</f>
        <v/>
      </c>
      <c r="AG136" s="50">
        <v>134</v>
      </c>
      <c r="AH136" s="50" t="str">
        <f>IF(COUNTIF(Database[[#This Row],[BASE]:[INT. OTHER]],"g"),"INTERIOR",IF(COUNTIF(Database[[#This Row],[ROOF]:[EXT. OTHER]],"n"),"EXTERIOR",Database[[#This Row],[DIVISION '#]]))</f>
        <v>ARCH NOTES</v>
      </c>
      <c r="AI136" s="50" t="str">
        <f>IF(OR(Database[[#This Row],[KEYTIER1]]="INTERIOR",Database[[#This Row],[KEYTIER1]]="EXTERIOR"),"",Database[[#This Row],[DIVISION NAME]])</f>
        <v>BY CATEGORY</v>
      </c>
      <c r="AJ136" s="50" t="str">
        <f>IF(Database[[#This Row],[KEYTIER1]]="INTERIOR","INT",IF(Database[[#This Row],[KEYTIER1]]="EXTERIOR","EXT",Database[[#This Row],[SECTION '#]]))</f>
        <v>GENERAL ANNOTATIONS</v>
      </c>
      <c r="AK136" s="50" t="str">
        <f>IF(OR(Database[[#This Row],[KEYTIER2]]="INT",Database[[#This Row],[KEYTIER2]]="EXT"),"",IF(Database[[#This Row],[SECTION NAME]]="","",Database[[#This Row],[SECTION NAME]]))</f>
        <v/>
      </c>
    </row>
    <row r="137" spans="2:37" ht="58" x14ac:dyDescent="0.35">
      <c r="B137" s="50" t="s">
        <v>71</v>
      </c>
      <c r="C137" s="50" t="s">
        <v>72</v>
      </c>
      <c r="D137" s="50" t="s">
        <v>73</v>
      </c>
      <c r="E137" s="50" t="s">
        <v>98</v>
      </c>
      <c r="F137" s="53"/>
      <c r="G137" s="72">
        <v>902</v>
      </c>
      <c r="H137" s="53" t="s">
        <v>102</v>
      </c>
      <c r="I137" s="64"/>
      <c r="J137" s="52"/>
      <c r="K137" s="52"/>
      <c r="L137" s="52"/>
      <c r="M137" s="52"/>
      <c r="N137" s="54"/>
      <c r="O137" s="66"/>
      <c r="P137" s="51"/>
      <c r="Q137" s="51"/>
      <c r="R137" s="51"/>
      <c r="S137" s="51"/>
      <c r="T137" s="55"/>
      <c r="U137" s="69"/>
      <c r="V137" s="50"/>
      <c r="W137" s="50"/>
      <c r="X137" s="50"/>
      <c r="Y137" s="50"/>
      <c r="Z137" s="50"/>
      <c r="AA137" s="50"/>
      <c r="AB137" s="50"/>
      <c r="AC137" s="50">
        <f>IF(COUNTIF($C$3:C137,C137)=1,1,IF(COUNTIF($E$3:E137,E137)=1,2,0))</f>
        <v>0</v>
      </c>
      <c r="AD137" s="50">
        <f>IF(ISNUMBER(SEARCH("-",Database[[#This Row],[KEYNOTE '#]])),LEFT(Database[[#This Row],[KEYNOTE '#]],FIND("-",Database[[#This Row],[KEYNOTE '#]])-1),Database[[#This Row],[KEYNOTE '#]])</f>
        <v>902</v>
      </c>
      <c r="AE13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7" s="50" t="str">
        <f>IF(AND(ISNUMBER(SEARCH("-",Database[[#This Row],[KEYNOTE '#]]))=TRUE,ISNUMBER(--RIGHT(Database[[#This Row],[KEYNOTE '#]]))=FALSE),RIGHT(Database[[#This Row],[KEYNOTE '#]],1),"")</f>
        <v/>
      </c>
      <c r="AG137" s="50">
        <v>135</v>
      </c>
      <c r="AH137" s="50" t="str">
        <f>IF(COUNTIF(Database[[#This Row],[BASE]:[INT. OTHER]],"g"),"INTERIOR",IF(COUNTIF(Database[[#This Row],[ROOF]:[EXT. OTHER]],"n"),"EXTERIOR",Database[[#This Row],[DIVISION '#]]))</f>
        <v>ARCH NOTES</v>
      </c>
      <c r="AI137" s="50" t="str">
        <f>IF(OR(Database[[#This Row],[KEYTIER1]]="INTERIOR",Database[[#This Row],[KEYTIER1]]="EXTERIOR"),"",Database[[#This Row],[DIVISION NAME]])</f>
        <v>BY CATEGORY</v>
      </c>
      <c r="AJ137" s="50" t="str">
        <f>IF(Database[[#This Row],[KEYTIER1]]="INTERIOR","INT",IF(Database[[#This Row],[KEYTIER1]]="EXTERIOR","EXT",Database[[#This Row],[SECTION '#]]))</f>
        <v>GENERAL ANNOTATIONS</v>
      </c>
      <c r="AK137" s="50" t="str">
        <f>IF(OR(Database[[#This Row],[KEYTIER2]]="INT",Database[[#This Row],[KEYTIER2]]="EXT"),"",IF(Database[[#This Row],[SECTION NAME]]="","",Database[[#This Row],[SECTION NAME]]))</f>
        <v/>
      </c>
    </row>
    <row r="138" spans="2:37" ht="58" x14ac:dyDescent="0.35">
      <c r="B138" s="50" t="s">
        <v>71</v>
      </c>
      <c r="C138" s="50" t="s">
        <v>72</v>
      </c>
      <c r="D138" s="50" t="s">
        <v>73</v>
      </c>
      <c r="E138" s="50" t="s">
        <v>98</v>
      </c>
      <c r="F138" s="53"/>
      <c r="G138" s="72">
        <v>903</v>
      </c>
      <c r="H138" s="53" t="s">
        <v>104</v>
      </c>
      <c r="I138" s="64"/>
      <c r="J138" s="52"/>
      <c r="K138" s="52"/>
      <c r="L138" s="52"/>
      <c r="M138" s="52"/>
      <c r="N138" s="54"/>
      <c r="O138" s="66"/>
      <c r="P138" s="51"/>
      <c r="Q138" s="51"/>
      <c r="R138" s="51"/>
      <c r="S138" s="51"/>
      <c r="T138" s="55"/>
      <c r="U138" s="69"/>
      <c r="V138" s="50"/>
      <c r="W138" s="50"/>
      <c r="X138" s="50"/>
      <c r="Y138" s="50"/>
      <c r="Z138" s="50"/>
      <c r="AA138" s="50"/>
      <c r="AB138" s="50"/>
      <c r="AC138" s="50">
        <f>IF(COUNTIF($C$3:C138,C138)=1,1,IF(COUNTIF($E$3:E138,E138)=1,2,0))</f>
        <v>0</v>
      </c>
      <c r="AD138" s="50">
        <f>IF(ISNUMBER(SEARCH("-",Database[[#This Row],[KEYNOTE '#]])),LEFT(Database[[#This Row],[KEYNOTE '#]],FIND("-",Database[[#This Row],[KEYNOTE '#]])-1),Database[[#This Row],[KEYNOTE '#]])</f>
        <v>903</v>
      </c>
      <c r="AE13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8" s="50" t="str">
        <f>IF(AND(ISNUMBER(SEARCH("-",Database[[#This Row],[KEYNOTE '#]]))=TRUE,ISNUMBER(--RIGHT(Database[[#This Row],[KEYNOTE '#]]))=FALSE),RIGHT(Database[[#This Row],[KEYNOTE '#]],1),"")</f>
        <v/>
      </c>
      <c r="AG138" s="50">
        <v>136</v>
      </c>
      <c r="AH138" s="50" t="str">
        <f>IF(COUNTIF(Database[[#This Row],[BASE]:[INT. OTHER]],"g"),"INTERIOR",IF(COUNTIF(Database[[#This Row],[ROOF]:[EXT. OTHER]],"n"),"EXTERIOR",Database[[#This Row],[DIVISION '#]]))</f>
        <v>ARCH NOTES</v>
      </c>
      <c r="AI138" s="50" t="str">
        <f>IF(OR(Database[[#This Row],[KEYTIER1]]="INTERIOR",Database[[#This Row],[KEYTIER1]]="EXTERIOR"),"",Database[[#This Row],[DIVISION NAME]])</f>
        <v>BY CATEGORY</v>
      </c>
      <c r="AJ138" s="50" t="str">
        <f>IF(Database[[#This Row],[KEYTIER1]]="INTERIOR","INT",IF(Database[[#This Row],[KEYTIER1]]="EXTERIOR","EXT",Database[[#This Row],[SECTION '#]]))</f>
        <v>GENERAL ANNOTATIONS</v>
      </c>
      <c r="AK138" s="50" t="str">
        <f>IF(OR(Database[[#This Row],[KEYTIER2]]="INT",Database[[#This Row],[KEYTIER2]]="EXT"),"",IF(Database[[#This Row],[SECTION NAME]]="","",Database[[#This Row],[SECTION NAME]]))</f>
        <v/>
      </c>
    </row>
    <row r="139" spans="2:37" ht="58" x14ac:dyDescent="0.35">
      <c r="B139" s="50" t="s">
        <v>71</v>
      </c>
      <c r="C139" s="50" t="s">
        <v>72</v>
      </c>
      <c r="D139" s="50" t="s">
        <v>73</v>
      </c>
      <c r="E139" s="50" t="s">
        <v>98</v>
      </c>
      <c r="F139" s="53"/>
      <c r="G139" s="72">
        <v>904</v>
      </c>
      <c r="H139" s="53" t="s">
        <v>106</v>
      </c>
      <c r="I139" s="64"/>
      <c r="J139" s="52"/>
      <c r="K139" s="52"/>
      <c r="L139" s="52"/>
      <c r="M139" s="52"/>
      <c r="N139" s="54"/>
      <c r="O139" s="66"/>
      <c r="P139" s="51"/>
      <c r="Q139" s="51"/>
      <c r="R139" s="51"/>
      <c r="S139" s="51"/>
      <c r="T139" s="55"/>
      <c r="U139" s="69"/>
      <c r="V139" s="50"/>
      <c r="W139" s="50"/>
      <c r="X139" s="50"/>
      <c r="Y139" s="50"/>
      <c r="Z139" s="50"/>
      <c r="AA139" s="50"/>
      <c r="AB139" s="50"/>
      <c r="AC139" s="50">
        <f>IF(COUNTIF($C$3:C139,C139)=1,1,IF(COUNTIF($E$3:E139,E139)=1,2,0))</f>
        <v>0</v>
      </c>
      <c r="AD139" s="50">
        <f>IF(ISNUMBER(SEARCH("-",Database[[#This Row],[KEYNOTE '#]])),LEFT(Database[[#This Row],[KEYNOTE '#]],FIND("-",Database[[#This Row],[KEYNOTE '#]])-1),Database[[#This Row],[KEYNOTE '#]])</f>
        <v>904</v>
      </c>
      <c r="AE13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9" s="50" t="str">
        <f>IF(AND(ISNUMBER(SEARCH("-",Database[[#This Row],[KEYNOTE '#]]))=TRUE,ISNUMBER(--RIGHT(Database[[#This Row],[KEYNOTE '#]]))=FALSE),RIGHT(Database[[#This Row],[KEYNOTE '#]],1),"")</f>
        <v/>
      </c>
      <c r="AG139" s="50">
        <v>137</v>
      </c>
      <c r="AH139" s="50" t="str">
        <f>IF(COUNTIF(Database[[#This Row],[BASE]:[INT. OTHER]],"g"),"INTERIOR",IF(COUNTIF(Database[[#This Row],[ROOF]:[EXT. OTHER]],"n"),"EXTERIOR",Database[[#This Row],[DIVISION '#]]))</f>
        <v>ARCH NOTES</v>
      </c>
      <c r="AI139" s="50" t="str">
        <f>IF(OR(Database[[#This Row],[KEYTIER1]]="INTERIOR",Database[[#This Row],[KEYTIER1]]="EXTERIOR"),"",Database[[#This Row],[DIVISION NAME]])</f>
        <v>BY CATEGORY</v>
      </c>
      <c r="AJ139" s="50" t="str">
        <f>IF(Database[[#This Row],[KEYTIER1]]="INTERIOR","INT",IF(Database[[#This Row],[KEYTIER1]]="EXTERIOR","EXT",Database[[#This Row],[SECTION '#]]))</f>
        <v>GENERAL ANNOTATIONS</v>
      </c>
      <c r="AK139" s="50" t="str">
        <f>IF(OR(Database[[#This Row],[KEYTIER2]]="INT",Database[[#This Row],[KEYTIER2]]="EXT"),"",IF(Database[[#This Row],[SECTION NAME]]="","",Database[[#This Row],[SECTION NAME]]))</f>
        <v/>
      </c>
    </row>
    <row r="140" spans="2:37" ht="58" x14ac:dyDescent="0.35">
      <c r="B140" s="50" t="s">
        <v>71</v>
      </c>
      <c r="C140" s="50" t="s">
        <v>72</v>
      </c>
      <c r="D140" s="50" t="s">
        <v>73</v>
      </c>
      <c r="E140" s="50" t="s">
        <v>98</v>
      </c>
      <c r="F140" s="53"/>
      <c r="G140" s="72">
        <v>905</v>
      </c>
      <c r="H140" s="53" t="s">
        <v>108</v>
      </c>
      <c r="I140" s="64"/>
      <c r="J140" s="52"/>
      <c r="K140" s="52"/>
      <c r="L140" s="52"/>
      <c r="M140" s="52"/>
      <c r="N140" s="54"/>
      <c r="O140" s="66"/>
      <c r="P140" s="51"/>
      <c r="Q140" s="51"/>
      <c r="R140" s="51"/>
      <c r="S140" s="51"/>
      <c r="T140" s="55"/>
      <c r="U140" s="69"/>
      <c r="V140" s="50"/>
      <c r="W140" s="50"/>
      <c r="X140" s="50"/>
      <c r="Y140" s="50"/>
      <c r="Z140" s="50"/>
      <c r="AA140" s="50"/>
      <c r="AB140" s="50"/>
      <c r="AC140" s="50">
        <f>IF(COUNTIF($C$3:C140,C140)=1,1,IF(COUNTIF($E$3:E140,E140)=1,2,0))</f>
        <v>0</v>
      </c>
      <c r="AD140" s="50">
        <f>IF(ISNUMBER(SEARCH("-",Database[[#This Row],[KEYNOTE '#]])),LEFT(Database[[#This Row],[KEYNOTE '#]],FIND("-",Database[[#This Row],[KEYNOTE '#]])-1),Database[[#This Row],[KEYNOTE '#]])</f>
        <v>905</v>
      </c>
      <c r="AE14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0" s="50" t="str">
        <f>IF(AND(ISNUMBER(SEARCH("-",Database[[#This Row],[KEYNOTE '#]]))=TRUE,ISNUMBER(--RIGHT(Database[[#This Row],[KEYNOTE '#]]))=FALSE),RIGHT(Database[[#This Row],[KEYNOTE '#]],1),"")</f>
        <v/>
      </c>
      <c r="AG140" s="50">
        <v>138</v>
      </c>
      <c r="AH140" s="50" t="str">
        <f>IF(COUNTIF(Database[[#This Row],[BASE]:[INT. OTHER]],"g"),"INTERIOR",IF(COUNTIF(Database[[#This Row],[ROOF]:[EXT. OTHER]],"n"),"EXTERIOR",Database[[#This Row],[DIVISION '#]]))</f>
        <v>ARCH NOTES</v>
      </c>
      <c r="AI140" s="50" t="str">
        <f>IF(OR(Database[[#This Row],[KEYTIER1]]="INTERIOR",Database[[#This Row],[KEYTIER1]]="EXTERIOR"),"",Database[[#This Row],[DIVISION NAME]])</f>
        <v>BY CATEGORY</v>
      </c>
      <c r="AJ140" s="50" t="str">
        <f>IF(Database[[#This Row],[KEYTIER1]]="INTERIOR","INT",IF(Database[[#This Row],[KEYTIER1]]="EXTERIOR","EXT",Database[[#This Row],[SECTION '#]]))</f>
        <v>GENERAL ANNOTATIONS</v>
      </c>
      <c r="AK140" s="50" t="str">
        <f>IF(OR(Database[[#This Row],[KEYTIER2]]="INT",Database[[#This Row],[KEYTIER2]]="EXT"),"",IF(Database[[#This Row],[SECTION NAME]]="","",Database[[#This Row],[SECTION NAME]]))</f>
        <v/>
      </c>
    </row>
    <row r="141" spans="2:37" ht="58" x14ac:dyDescent="0.35">
      <c r="B141" s="50" t="s">
        <v>71</v>
      </c>
      <c r="C141" s="50" t="s">
        <v>72</v>
      </c>
      <c r="D141" s="50" t="s">
        <v>73</v>
      </c>
      <c r="E141" s="50" t="s">
        <v>98</v>
      </c>
      <c r="F141" s="53"/>
      <c r="G141" s="72">
        <v>906</v>
      </c>
      <c r="H141" s="53" t="s">
        <v>110</v>
      </c>
      <c r="I141" s="64"/>
      <c r="J141" s="52"/>
      <c r="K141" s="52"/>
      <c r="L141" s="52"/>
      <c r="M141" s="52"/>
      <c r="N141" s="54"/>
      <c r="O141" s="66"/>
      <c r="P141" s="51"/>
      <c r="Q141" s="51"/>
      <c r="R141" s="51"/>
      <c r="S141" s="51"/>
      <c r="T141" s="55"/>
      <c r="U141" s="69"/>
      <c r="V141" s="50"/>
      <c r="W141" s="50"/>
      <c r="X141" s="50"/>
      <c r="Y141" s="50"/>
      <c r="Z141" s="50"/>
      <c r="AA141" s="50"/>
      <c r="AB141" s="50"/>
      <c r="AC141" s="50">
        <f>IF(COUNTIF($C$3:C141,C141)=1,1,IF(COUNTIF($E$3:E141,E141)=1,2,0))</f>
        <v>0</v>
      </c>
      <c r="AD141" s="50">
        <f>IF(ISNUMBER(SEARCH("-",Database[[#This Row],[KEYNOTE '#]])),LEFT(Database[[#This Row],[KEYNOTE '#]],FIND("-",Database[[#This Row],[KEYNOTE '#]])-1),Database[[#This Row],[KEYNOTE '#]])</f>
        <v>906</v>
      </c>
      <c r="AE14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1" s="50" t="str">
        <f>IF(AND(ISNUMBER(SEARCH("-",Database[[#This Row],[KEYNOTE '#]]))=TRUE,ISNUMBER(--RIGHT(Database[[#This Row],[KEYNOTE '#]]))=FALSE),RIGHT(Database[[#This Row],[KEYNOTE '#]],1),"")</f>
        <v/>
      </c>
      <c r="AG141" s="50">
        <v>139</v>
      </c>
      <c r="AH141" s="50" t="str">
        <f>IF(COUNTIF(Database[[#This Row],[BASE]:[INT. OTHER]],"g"),"INTERIOR",IF(COUNTIF(Database[[#This Row],[ROOF]:[EXT. OTHER]],"n"),"EXTERIOR",Database[[#This Row],[DIVISION '#]]))</f>
        <v>ARCH NOTES</v>
      </c>
      <c r="AI141" s="50" t="str">
        <f>IF(OR(Database[[#This Row],[KEYTIER1]]="INTERIOR",Database[[#This Row],[KEYTIER1]]="EXTERIOR"),"",Database[[#This Row],[DIVISION NAME]])</f>
        <v>BY CATEGORY</v>
      </c>
      <c r="AJ141" s="50" t="str">
        <f>IF(Database[[#This Row],[KEYTIER1]]="INTERIOR","INT",IF(Database[[#This Row],[KEYTIER1]]="EXTERIOR","EXT",Database[[#This Row],[SECTION '#]]))</f>
        <v>GENERAL ANNOTATIONS</v>
      </c>
      <c r="AK141" s="50" t="str">
        <f>IF(OR(Database[[#This Row],[KEYTIER2]]="INT",Database[[#This Row],[KEYTIER2]]="EXT"),"",IF(Database[[#This Row],[SECTION NAME]]="","",Database[[#This Row],[SECTION NAME]]))</f>
        <v/>
      </c>
    </row>
    <row r="142" spans="2:37" ht="58" x14ac:dyDescent="0.35">
      <c r="B142" s="50" t="s">
        <v>71</v>
      </c>
      <c r="C142" s="50" t="s">
        <v>72</v>
      </c>
      <c r="D142" s="50" t="s">
        <v>73</v>
      </c>
      <c r="E142" s="50" t="s">
        <v>98</v>
      </c>
      <c r="F142" s="53"/>
      <c r="G142" s="72">
        <v>907</v>
      </c>
      <c r="H142" s="53" t="s">
        <v>112</v>
      </c>
      <c r="I142" s="64"/>
      <c r="J142" s="52"/>
      <c r="K142" s="52"/>
      <c r="L142" s="52"/>
      <c r="M142" s="52"/>
      <c r="N142" s="54"/>
      <c r="O142" s="66"/>
      <c r="P142" s="51"/>
      <c r="Q142" s="51"/>
      <c r="R142" s="51"/>
      <c r="S142" s="51"/>
      <c r="T142" s="55"/>
      <c r="U142" s="69"/>
      <c r="V142" s="50"/>
      <c r="W142" s="50"/>
      <c r="X142" s="50"/>
      <c r="Y142" s="50"/>
      <c r="Z142" s="50"/>
      <c r="AA142" s="50"/>
      <c r="AB142" s="50"/>
      <c r="AC142" s="50">
        <f>IF(COUNTIF($C$3:C142,C142)=1,1,IF(COUNTIF($E$3:E142,E142)=1,2,0))</f>
        <v>0</v>
      </c>
      <c r="AD142" s="50">
        <f>IF(ISNUMBER(SEARCH("-",Database[[#This Row],[KEYNOTE '#]])),LEFT(Database[[#This Row],[KEYNOTE '#]],FIND("-",Database[[#This Row],[KEYNOTE '#]])-1),Database[[#This Row],[KEYNOTE '#]])</f>
        <v>907</v>
      </c>
      <c r="AE14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2" s="50" t="str">
        <f>IF(AND(ISNUMBER(SEARCH("-",Database[[#This Row],[KEYNOTE '#]]))=TRUE,ISNUMBER(--RIGHT(Database[[#This Row],[KEYNOTE '#]]))=FALSE),RIGHT(Database[[#This Row],[KEYNOTE '#]],1),"")</f>
        <v/>
      </c>
      <c r="AG142" s="50">
        <v>140</v>
      </c>
      <c r="AH142" s="50" t="str">
        <f>IF(COUNTIF(Database[[#This Row],[BASE]:[INT. OTHER]],"g"),"INTERIOR",IF(COUNTIF(Database[[#This Row],[ROOF]:[EXT. OTHER]],"n"),"EXTERIOR",Database[[#This Row],[DIVISION '#]]))</f>
        <v>ARCH NOTES</v>
      </c>
      <c r="AI142" s="50" t="str">
        <f>IF(OR(Database[[#This Row],[KEYTIER1]]="INTERIOR",Database[[#This Row],[KEYTIER1]]="EXTERIOR"),"",Database[[#This Row],[DIVISION NAME]])</f>
        <v>BY CATEGORY</v>
      </c>
      <c r="AJ142" s="50" t="str">
        <f>IF(Database[[#This Row],[KEYTIER1]]="INTERIOR","INT",IF(Database[[#This Row],[KEYTIER1]]="EXTERIOR","EXT",Database[[#This Row],[SECTION '#]]))</f>
        <v>GENERAL ANNOTATIONS</v>
      </c>
      <c r="AK142" s="50" t="str">
        <f>IF(OR(Database[[#This Row],[KEYTIER2]]="INT",Database[[#This Row],[KEYTIER2]]="EXT"),"",IF(Database[[#This Row],[SECTION NAME]]="","",Database[[#This Row],[SECTION NAME]]))</f>
        <v/>
      </c>
    </row>
    <row r="143" spans="2:37" ht="58" x14ac:dyDescent="0.35">
      <c r="B143" s="50" t="s">
        <v>71</v>
      </c>
      <c r="C143" s="50" t="s">
        <v>72</v>
      </c>
      <c r="D143" s="50" t="s">
        <v>73</v>
      </c>
      <c r="E143" s="50" t="s">
        <v>98</v>
      </c>
      <c r="F143" s="53"/>
      <c r="G143" s="72">
        <v>908</v>
      </c>
      <c r="H143" s="53" t="s">
        <v>114</v>
      </c>
      <c r="I143" s="64"/>
      <c r="J143" s="52"/>
      <c r="K143" s="52"/>
      <c r="L143" s="52"/>
      <c r="M143" s="52"/>
      <c r="N143" s="54"/>
      <c r="O143" s="66"/>
      <c r="P143" s="51"/>
      <c r="Q143" s="51"/>
      <c r="R143" s="51"/>
      <c r="S143" s="51"/>
      <c r="T143" s="55"/>
      <c r="U143" s="69"/>
      <c r="V143" s="50"/>
      <c r="W143" s="50"/>
      <c r="X143" s="50"/>
      <c r="Y143" s="50"/>
      <c r="Z143" s="50"/>
      <c r="AA143" s="50"/>
      <c r="AB143" s="50"/>
      <c r="AC143" s="50">
        <f>IF(COUNTIF($C$3:C143,C143)=1,1,IF(COUNTIF($E$3:E143,E143)=1,2,0))</f>
        <v>0</v>
      </c>
      <c r="AD143" s="50">
        <f>IF(ISNUMBER(SEARCH("-",Database[[#This Row],[KEYNOTE '#]])),LEFT(Database[[#This Row],[KEYNOTE '#]],FIND("-",Database[[#This Row],[KEYNOTE '#]])-1),Database[[#This Row],[KEYNOTE '#]])</f>
        <v>908</v>
      </c>
      <c r="AE14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3" s="50" t="str">
        <f>IF(AND(ISNUMBER(SEARCH("-",Database[[#This Row],[KEYNOTE '#]]))=TRUE,ISNUMBER(--RIGHT(Database[[#This Row],[KEYNOTE '#]]))=FALSE),RIGHT(Database[[#This Row],[KEYNOTE '#]],1),"")</f>
        <v/>
      </c>
      <c r="AG143" s="50">
        <v>141</v>
      </c>
      <c r="AH143" s="50" t="str">
        <f>IF(COUNTIF(Database[[#This Row],[BASE]:[INT. OTHER]],"g"),"INTERIOR",IF(COUNTIF(Database[[#This Row],[ROOF]:[EXT. OTHER]],"n"),"EXTERIOR",Database[[#This Row],[DIVISION '#]]))</f>
        <v>ARCH NOTES</v>
      </c>
      <c r="AI143" s="50" t="str">
        <f>IF(OR(Database[[#This Row],[KEYTIER1]]="INTERIOR",Database[[#This Row],[KEYTIER1]]="EXTERIOR"),"",Database[[#This Row],[DIVISION NAME]])</f>
        <v>BY CATEGORY</v>
      </c>
      <c r="AJ143" s="50" t="str">
        <f>IF(Database[[#This Row],[KEYTIER1]]="INTERIOR","INT",IF(Database[[#This Row],[KEYTIER1]]="EXTERIOR","EXT",Database[[#This Row],[SECTION '#]]))</f>
        <v>GENERAL ANNOTATIONS</v>
      </c>
      <c r="AK143" s="50" t="str">
        <f>IF(OR(Database[[#This Row],[KEYTIER2]]="INT",Database[[#This Row],[KEYTIER2]]="EXT"),"",IF(Database[[#This Row],[SECTION NAME]]="","",Database[[#This Row],[SECTION NAME]]))</f>
        <v/>
      </c>
    </row>
    <row r="144" spans="2:37" ht="58" x14ac:dyDescent="0.35">
      <c r="B144" s="50" t="s">
        <v>71</v>
      </c>
      <c r="C144" s="50" t="s">
        <v>72</v>
      </c>
      <c r="D144" s="50" t="s">
        <v>73</v>
      </c>
      <c r="E144" s="50" t="s">
        <v>98</v>
      </c>
      <c r="F144" s="53"/>
      <c r="G144" s="72">
        <v>909</v>
      </c>
      <c r="H144" s="53" t="s">
        <v>116</v>
      </c>
      <c r="I144" s="64"/>
      <c r="J144" s="52"/>
      <c r="K144" s="52"/>
      <c r="L144" s="52"/>
      <c r="M144" s="52"/>
      <c r="N144" s="54"/>
      <c r="O144" s="66"/>
      <c r="P144" s="51"/>
      <c r="Q144" s="51"/>
      <c r="R144" s="51"/>
      <c r="S144" s="51"/>
      <c r="T144" s="55"/>
      <c r="U144" s="69"/>
      <c r="V144" s="50"/>
      <c r="W144" s="50"/>
      <c r="X144" s="50"/>
      <c r="Y144" s="50"/>
      <c r="Z144" s="50"/>
      <c r="AA144" s="50"/>
      <c r="AB144" s="50"/>
      <c r="AC144" s="50">
        <f>IF(COUNTIF($C$3:C144,C144)=1,1,IF(COUNTIF($E$3:E144,E144)=1,2,0))</f>
        <v>0</v>
      </c>
      <c r="AD144" s="50">
        <f>IF(ISNUMBER(SEARCH("-",Database[[#This Row],[KEYNOTE '#]])),LEFT(Database[[#This Row],[KEYNOTE '#]],FIND("-",Database[[#This Row],[KEYNOTE '#]])-1),Database[[#This Row],[KEYNOTE '#]])</f>
        <v>909</v>
      </c>
      <c r="AE14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4" s="50" t="str">
        <f>IF(AND(ISNUMBER(SEARCH("-",Database[[#This Row],[KEYNOTE '#]]))=TRUE,ISNUMBER(--RIGHT(Database[[#This Row],[KEYNOTE '#]]))=FALSE),RIGHT(Database[[#This Row],[KEYNOTE '#]],1),"")</f>
        <v/>
      </c>
      <c r="AG144" s="50">
        <v>142</v>
      </c>
      <c r="AH144" s="50" t="str">
        <f>IF(COUNTIF(Database[[#This Row],[BASE]:[INT. OTHER]],"g"),"INTERIOR",IF(COUNTIF(Database[[#This Row],[ROOF]:[EXT. OTHER]],"n"),"EXTERIOR",Database[[#This Row],[DIVISION '#]]))</f>
        <v>ARCH NOTES</v>
      </c>
      <c r="AI144" s="50" t="str">
        <f>IF(OR(Database[[#This Row],[KEYTIER1]]="INTERIOR",Database[[#This Row],[KEYTIER1]]="EXTERIOR"),"",Database[[#This Row],[DIVISION NAME]])</f>
        <v>BY CATEGORY</v>
      </c>
      <c r="AJ144" s="50" t="str">
        <f>IF(Database[[#This Row],[KEYTIER1]]="INTERIOR","INT",IF(Database[[#This Row],[KEYTIER1]]="EXTERIOR","EXT",Database[[#This Row],[SECTION '#]]))</f>
        <v>GENERAL ANNOTATIONS</v>
      </c>
      <c r="AK144" s="50" t="str">
        <f>IF(OR(Database[[#This Row],[KEYTIER2]]="INT",Database[[#This Row],[KEYTIER2]]="EXT"),"",IF(Database[[#This Row],[SECTION NAME]]="","",Database[[#This Row],[SECTION NAME]]))</f>
        <v/>
      </c>
    </row>
    <row r="145" spans="2:37" ht="58" x14ac:dyDescent="0.35">
      <c r="B145" s="50" t="s">
        <v>71</v>
      </c>
      <c r="C145" s="50" t="s">
        <v>72</v>
      </c>
      <c r="D145" s="50" t="s">
        <v>73</v>
      </c>
      <c r="E145" s="50" t="s">
        <v>98</v>
      </c>
      <c r="F145" s="53"/>
      <c r="G145" s="72">
        <v>910</v>
      </c>
      <c r="H145" s="53" t="s">
        <v>118</v>
      </c>
      <c r="I145" s="64"/>
      <c r="J145" s="52"/>
      <c r="K145" s="52"/>
      <c r="L145" s="52"/>
      <c r="M145" s="52"/>
      <c r="N145" s="54"/>
      <c r="O145" s="66"/>
      <c r="P145" s="51"/>
      <c r="Q145" s="51"/>
      <c r="R145" s="51"/>
      <c r="S145" s="51"/>
      <c r="T145" s="55"/>
      <c r="U145" s="69"/>
      <c r="V145" s="50"/>
      <c r="W145" s="50"/>
      <c r="X145" s="50"/>
      <c r="Y145" s="50"/>
      <c r="Z145" s="50"/>
      <c r="AA145" s="50"/>
      <c r="AB145" s="50"/>
      <c r="AC145" s="50">
        <f>IF(COUNTIF($C$3:C145,C145)=1,1,IF(COUNTIF($E$3:E145,E145)=1,2,0))</f>
        <v>0</v>
      </c>
      <c r="AD145" s="50">
        <f>IF(ISNUMBER(SEARCH("-",Database[[#This Row],[KEYNOTE '#]])),LEFT(Database[[#This Row],[KEYNOTE '#]],FIND("-",Database[[#This Row],[KEYNOTE '#]])-1),Database[[#This Row],[KEYNOTE '#]])</f>
        <v>910</v>
      </c>
      <c r="AE14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5" s="50" t="str">
        <f>IF(AND(ISNUMBER(SEARCH("-",Database[[#This Row],[KEYNOTE '#]]))=TRUE,ISNUMBER(--RIGHT(Database[[#This Row],[KEYNOTE '#]]))=FALSE),RIGHT(Database[[#This Row],[KEYNOTE '#]],1),"")</f>
        <v/>
      </c>
      <c r="AG145" s="50">
        <v>143</v>
      </c>
      <c r="AH145" s="50" t="str">
        <f>IF(COUNTIF(Database[[#This Row],[BASE]:[INT. OTHER]],"g"),"INTERIOR",IF(COUNTIF(Database[[#This Row],[ROOF]:[EXT. OTHER]],"n"),"EXTERIOR",Database[[#This Row],[DIVISION '#]]))</f>
        <v>ARCH NOTES</v>
      </c>
      <c r="AI145" s="50" t="str">
        <f>IF(OR(Database[[#This Row],[KEYTIER1]]="INTERIOR",Database[[#This Row],[KEYTIER1]]="EXTERIOR"),"",Database[[#This Row],[DIVISION NAME]])</f>
        <v>BY CATEGORY</v>
      </c>
      <c r="AJ145" s="50" t="str">
        <f>IF(Database[[#This Row],[KEYTIER1]]="INTERIOR","INT",IF(Database[[#This Row],[KEYTIER1]]="EXTERIOR","EXT",Database[[#This Row],[SECTION '#]]))</f>
        <v>GENERAL ANNOTATIONS</v>
      </c>
      <c r="AK145" s="50" t="str">
        <f>IF(OR(Database[[#This Row],[KEYTIER2]]="INT",Database[[#This Row],[KEYTIER2]]="EXT"),"",IF(Database[[#This Row],[SECTION NAME]]="","",Database[[#This Row],[SECTION NAME]]))</f>
        <v/>
      </c>
    </row>
    <row r="146" spans="2:37" ht="58" x14ac:dyDescent="0.35">
      <c r="B146" s="50" t="s">
        <v>71</v>
      </c>
      <c r="C146" s="50" t="s">
        <v>72</v>
      </c>
      <c r="D146" s="50" t="s">
        <v>73</v>
      </c>
      <c r="E146" s="50" t="s">
        <v>98</v>
      </c>
      <c r="F146" s="53"/>
      <c r="G146" s="72">
        <v>911</v>
      </c>
      <c r="H146" s="53" t="s">
        <v>120</v>
      </c>
      <c r="I146" s="64"/>
      <c r="J146" s="52"/>
      <c r="K146" s="52"/>
      <c r="L146" s="52"/>
      <c r="M146" s="52"/>
      <c r="N146" s="54"/>
      <c r="O146" s="66"/>
      <c r="P146" s="51"/>
      <c r="Q146" s="51"/>
      <c r="R146" s="51"/>
      <c r="S146" s="51"/>
      <c r="T146" s="55"/>
      <c r="U146" s="69"/>
      <c r="V146" s="50"/>
      <c r="W146" s="50"/>
      <c r="X146" s="50"/>
      <c r="Y146" s="50"/>
      <c r="Z146" s="50"/>
      <c r="AA146" s="50"/>
      <c r="AB146" s="50"/>
      <c r="AC146" s="50">
        <f>IF(COUNTIF($C$3:C146,C146)=1,1,IF(COUNTIF($E$3:E146,E146)=1,2,0))</f>
        <v>0</v>
      </c>
      <c r="AD146" s="50">
        <f>IF(ISNUMBER(SEARCH("-",Database[[#This Row],[KEYNOTE '#]])),LEFT(Database[[#This Row],[KEYNOTE '#]],FIND("-",Database[[#This Row],[KEYNOTE '#]])-1),Database[[#This Row],[KEYNOTE '#]])</f>
        <v>911</v>
      </c>
      <c r="AE14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6" s="50" t="str">
        <f>IF(AND(ISNUMBER(SEARCH("-",Database[[#This Row],[KEYNOTE '#]]))=TRUE,ISNUMBER(--RIGHT(Database[[#This Row],[KEYNOTE '#]]))=FALSE),RIGHT(Database[[#This Row],[KEYNOTE '#]],1),"")</f>
        <v/>
      </c>
      <c r="AG146" s="50">
        <v>144</v>
      </c>
      <c r="AH146" s="50" t="str">
        <f>IF(COUNTIF(Database[[#This Row],[BASE]:[INT. OTHER]],"g"),"INTERIOR",IF(COUNTIF(Database[[#This Row],[ROOF]:[EXT. OTHER]],"n"),"EXTERIOR",Database[[#This Row],[DIVISION '#]]))</f>
        <v>ARCH NOTES</v>
      </c>
      <c r="AI146" s="50" t="str">
        <f>IF(OR(Database[[#This Row],[KEYTIER1]]="INTERIOR",Database[[#This Row],[KEYTIER1]]="EXTERIOR"),"",Database[[#This Row],[DIVISION NAME]])</f>
        <v>BY CATEGORY</v>
      </c>
      <c r="AJ146" s="50" t="str">
        <f>IF(Database[[#This Row],[KEYTIER1]]="INTERIOR","INT",IF(Database[[#This Row],[KEYTIER1]]="EXTERIOR","EXT",Database[[#This Row],[SECTION '#]]))</f>
        <v>GENERAL ANNOTATIONS</v>
      </c>
      <c r="AK146" s="50" t="str">
        <f>IF(OR(Database[[#This Row],[KEYTIER2]]="INT",Database[[#This Row],[KEYTIER2]]="EXT"),"",IF(Database[[#This Row],[SECTION NAME]]="","",Database[[#This Row],[SECTION NAME]]))</f>
        <v/>
      </c>
    </row>
    <row r="147" spans="2:37" ht="58" x14ac:dyDescent="0.35">
      <c r="B147" s="50" t="s">
        <v>71</v>
      </c>
      <c r="C147" s="50" t="s">
        <v>72</v>
      </c>
      <c r="D147" s="50" t="s">
        <v>73</v>
      </c>
      <c r="E147" s="50" t="s">
        <v>98</v>
      </c>
      <c r="F147" s="53"/>
      <c r="G147" s="72">
        <v>912</v>
      </c>
      <c r="H147" s="53" t="s">
        <v>122</v>
      </c>
      <c r="I147" s="64"/>
      <c r="J147" s="52"/>
      <c r="K147" s="52"/>
      <c r="L147" s="52"/>
      <c r="M147" s="52"/>
      <c r="N147" s="54"/>
      <c r="O147" s="66"/>
      <c r="P147" s="51"/>
      <c r="Q147" s="51"/>
      <c r="R147" s="51"/>
      <c r="S147" s="51"/>
      <c r="T147" s="55"/>
      <c r="U147" s="69"/>
      <c r="V147" s="50"/>
      <c r="W147" s="50"/>
      <c r="X147" s="50"/>
      <c r="Y147" s="50"/>
      <c r="Z147" s="50"/>
      <c r="AA147" s="50"/>
      <c r="AB147" s="50"/>
      <c r="AC147" s="50">
        <f>IF(COUNTIF($C$3:C147,C147)=1,1,IF(COUNTIF($E$3:E147,E147)=1,2,0))</f>
        <v>0</v>
      </c>
      <c r="AD147" s="50">
        <f>IF(ISNUMBER(SEARCH("-",Database[[#This Row],[KEYNOTE '#]])),LEFT(Database[[#This Row],[KEYNOTE '#]],FIND("-",Database[[#This Row],[KEYNOTE '#]])-1),Database[[#This Row],[KEYNOTE '#]])</f>
        <v>912</v>
      </c>
      <c r="AE14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7" s="50" t="str">
        <f>IF(AND(ISNUMBER(SEARCH("-",Database[[#This Row],[KEYNOTE '#]]))=TRUE,ISNUMBER(--RIGHT(Database[[#This Row],[KEYNOTE '#]]))=FALSE),RIGHT(Database[[#This Row],[KEYNOTE '#]],1),"")</f>
        <v/>
      </c>
      <c r="AG147" s="50">
        <v>145</v>
      </c>
      <c r="AH147" s="50" t="str">
        <f>IF(COUNTIF(Database[[#This Row],[BASE]:[INT. OTHER]],"g"),"INTERIOR",IF(COUNTIF(Database[[#This Row],[ROOF]:[EXT. OTHER]],"n"),"EXTERIOR",Database[[#This Row],[DIVISION '#]]))</f>
        <v>ARCH NOTES</v>
      </c>
      <c r="AI147" s="50" t="str">
        <f>IF(OR(Database[[#This Row],[KEYTIER1]]="INTERIOR",Database[[#This Row],[KEYTIER1]]="EXTERIOR"),"",Database[[#This Row],[DIVISION NAME]])</f>
        <v>BY CATEGORY</v>
      </c>
      <c r="AJ147" s="50" t="str">
        <f>IF(Database[[#This Row],[KEYTIER1]]="INTERIOR","INT",IF(Database[[#This Row],[KEYTIER1]]="EXTERIOR","EXT",Database[[#This Row],[SECTION '#]]))</f>
        <v>GENERAL ANNOTATIONS</v>
      </c>
      <c r="AK147" s="50" t="str">
        <f>IF(OR(Database[[#This Row],[KEYTIER2]]="INT",Database[[#This Row],[KEYTIER2]]="EXT"),"",IF(Database[[#This Row],[SECTION NAME]]="","",Database[[#This Row],[SECTION NAME]]))</f>
        <v/>
      </c>
    </row>
    <row r="148" spans="2:37" ht="58" x14ac:dyDescent="0.35">
      <c r="B148" s="50" t="s">
        <v>71</v>
      </c>
      <c r="C148" s="50" t="s">
        <v>72</v>
      </c>
      <c r="D148" s="50" t="s">
        <v>73</v>
      </c>
      <c r="E148" s="50" t="s">
        <v>98</v>
      </c>
      <c r="F148" s="53"/>
      <c r="G148" s="72">
        <v>913</v>
      </c>
      <c r="H148" s="53" t="s">
        <v>124</v>
      </c>
      <c r="I148" s="64"/>
      <c r="J148" s="52"/>
      <c r="K148" s="52"/>
      <c r="L148" s="52"/>
      <c r="M148" s="52"/>
      <c r="N148" s="54"/>
      <c r="O148" s="66"/>
      <c r="P148" s="51"/>
      <c r="Q148" s="51"/>
      <c r="R148" s="51"/>
      <c r="S148" s="51"/>
      <c r="T148" s="55"/>
      <c r="U148" s="69"/>
      <c r="V148" s="50"/>
      <c r="W148" s="50"/>
      <c r="X148" s="50"/>
      <c r="Y148" s="50"/>
      <c r="Z148" s="50"/>
      <c r="AA148" s="50"/>
      <c r="AB148" s="50"/>
      <c r="AC148" s="50">
        <f>IF(COUNTIF($C$3:C148,C148)=1,1,IF(COUNTIF($E$3:E148,E148)=1,2,0))</f>
        <v>0</v>
      </c>
      <c r="AD148" s="50">
        <f>IF(ISNUMBER(SEARCH("-",Database[[#This Row],[KEYNOTE '#]])),LEFT(Database[[#This Row],[KEYNOTE '#]],FIND("-",Database[[#This Row],[KEYNOTE '#]])-1),Database[[#This Row],[KEYNOTE '#]])</f>
        <v>913</v>
      </c>
      <c r="AE14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8" s="50" t="str">
        <f>IF(AND(ISNUMBER(SEARCH("-",Database[[#This Row],[KEYNOTE '#]]))=TRUE,ISNUMBER(--RIGHT(Database[[#This Row],[KEYNOTE '#]]))=FALSE),RIGHT(Database[[#This Row],[KEYNOTE '#]],1),"")</f>
        <v/>
      </c>
      <c r="AG148" s="50">
        <v>146</v>
      </c>
      <c r="AH148" s="50" t="str">
        <f>IF(COUNTIF(Database[[#This Row],[BASE]:[INT. OTHER]],"g"),"INTERIOR",IF(COUNTIF(Database[[#This Row],[ROOF]:[EXT. OTHER]],"n"),"EXTERIOR",Database[[#This Row],[DIVISION '#]]))</f>
        <v>ARCH NOTES</v>
      </c>
      <c r="AI148" s="50" t="str">
        <f>IF(OR(Database[[#This Row],[KEYTIER1]]="INTERIOR",Database[[#This Row],[KEYTIER1]]="EXTERIOR"),"",Database[[#This Row],[DIVISION NAME]])</f>
        <v>BY CATEGORY</v>
      </c>
      <c r="AJ148" s="50" t="str">
        <f>IF(Database[[#This Row],[KEYTIER1]]="INTERIOR","INT",IF(Database[[#This Row],[KEYTIER1]]="EXTERIOR","EXT",Database[[#This Row],[SECTION '#]]))</f>
        <v>GENERAL ANNOTATIONS</v>
      </c>
      <c r="AK148" s="50" t="str">
        <f>IF(OR(Database[[#This Row],[KEYTIER2]]="INT",Database[[#This Row],[KEYTIER2]]="EXT"),"",IF(Database[[#This Row],[SECTION NAME]]="","",Database[[#This Row],[SECTION NAME]]))</f>
        <v/>
      </c>
    </row>
    <row r="149" spans="2:37" ht="58" x14ac:dyDescent="0.35">
      <c r="B149" s="50" t="s">
        <v>71</v>
      </c>
      <c r="C149" s="50" t="s">
        <v>72</v>
      </c>
      <c r="D149" s="50" t="s">
        <v>73</v>
      </c>
      <c r="E149" s="50" t="s">
        <v>98</v>
      </c>
      <c r="F149" s="53"/>
      <c r="G149" s="72">
        <v>914</v>
      </c>
      <c r="H149" s="53" t="s">
        <v>126</v>
      </c>
      <c r="I149" s="64"/>
      <c r="J149" s="52"/>
      <c r="K149" s="52"/>
      <c r="L149" s="52"/>
      <c r="M149" s="52"/>
      <c r="N149" s="54"/>
      <c r="O149" s="66"/>
      <c r="P149" s="51"/>
      <c r="Q149" s="51"/>
      <c r="R149" s="51"/>
      <c r="S149" s="51"/>
      <c r="T149" s="55"/>
      <c r="U149" s="69"/>
      <c r="V149" s="50"/>
      <c r="W149" s="50"/>
      <c r="X149" s="50"/>
      <c r="Y149" s="50"/>
      <c r="Z149" s="50"/>
      <c r="AA149" s="50"/>
      <c r="AB149" s="50"/>
      <c r="AC149" s="50">
        <f>IF(COUNTIF($C$3:C149,C149)=1,1,IF(COUNTIF($E$3:E149,E149)=1,2,0))</f>
        <v>0</v>
      </c>
      <c r="AD149" s="50">
        <f>IF(ISNUMBER(SEARCH("-",Database[[#This Row],[KEYNOTE '#]])),LEFT(Database[[#This Row],[KEYNOTE '#]],FIND("-",Database[[#This Row],[KEYNOTE '#]])-1),Database[[#This Row],[KEYNOTE '#]])</f>
        <v>914</v>
      </c>
      <c r="AE14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9" s="50" t="str">
        <f>IF(AND(ISNUMBER(SEARCH("-",Database[[#This Row],[KEYNOTE '#]]))=TRUE,ISNUMBER(--RIGHT(Database[[#This Row],[KEYNOTE '#]]))=FALSE),RIGHT(Database[[#This Row],[KEYNOTE '#]],1),"")</f>
        <v/>
      </c>
      <c r="AG149" s="50">
        <v>147</v>
      </c>
      <c r="AH149" s="50" t="str">
        <f>IF(COUNTIF(Database[[#This Row],[BASE]:[INT. OTHER]],"g"),"INTERIOR",IF(COUNTIF(Database[[#This Row],[ROOF]:[EXT. OTHER]],"n"),"EXTERIOR",Database[[#This Row],[DIVISION '#]]))</f>
        <v>ARCH NOTES</v>
      </c>
      <c r="AI149" s="50" t="str">
        <f>IF(OR(Database[[#This Row],[KEYTIER1]]="INTERIOR",Database[[#This Row],[KEYTIER1]]="EXTERIOR"),"",Database[[#This Row],[DIVISION NAME]])</f>
        <v>BY CATEGORY</v>
      </c>
      <c r="AJ149" s="50" t="str">
        <f>IF(Database[[#This Row],[KEYTIER1]]="INTERIOR","INT",IF(Database[[#This Row],[KEYTIER1]]="EXTERIOR","EXT",Database[[#This Row],[SECTION '#]]))</f>
        <v>GENERAL ANNOTATIONS</v>
      </c>
      <c r="AK149" s="50" t="str">
        <f>IF(OR(Database[[#This Row],[KEYTIER2]]="INT",Database[[#This Row],[KEYTIER2]]="EXT"),"",IF(Database[[#This Row],[SECTION NAME]]="","",Database[[#This Row],[SECTION NAME]]))</f>
        <v/>
      </c>
    </row>
    <row r="150" spans="2:37" ht="58" x14ac:dyDescent="0.35">
      <c r="B150" s="50" t="s">
        <v>71</v>
      </c>
      <c r="C150" s="50" t="s">
        <v>72</v>
      </c>
      <c r="D150" s="50" t="s">
        <v>73</v>
      </c>
      <c r="E150" s="50" t="s">
        <v>98</v>
      </c>
      <c r="F150" s="53"/>
      <c r="G150" s="72">
        <v>915</v>
      </c>
      <c r="H150" s="53" t="s">
        <v>128</v>
      </c>
      <c r="I150" s="64"/>
      <c r="J150" s="52"/>
      <c r="K150" s="52"/>
      <c r="L150" s="52"/>
      <c r="M150" s="52"/>
      <c r="N150" s="54"/>
      <c r="O150" s="66"/>
      <c r="P150" s="51"/>
      <c r="Q150" s="51"/>
      <c r="R150" s="51"/>
      <c r="S150" s="51"/>
      <c r="T150" s="55"/>
      <c r="U150" s="69"/>
      <c r="V150" s="50"/>
      <c r="W150" s="50"/>
      <c r="X150" s="50"/>
      <c r="Y150" s="50"/>
      <c r="Z150" s="50"/>
      <c r="AA150" s="50"/>
      <c r="AB150" s="50"/>
      <c r="AC150" s="50">
        <f>IF(COUNTIF($C$3:C150,C150)=1,1,IF(COUNTIF($E$3:E150,E150)=1,2,0))</f>
        <v>0</v>
      </c>
      <c r="AD150" s="50">
        <f>IF(ISNUMBER(SEARCH("-",Database[[#This Row],[KEYNOTE '#]])),LEFT(Database[[#This Row],[KEYNOTE '#]],FIND("-",Database[[#This Row],[KEYNOTE '#]])-1),Database[[#This Row],[KEYNOTE '#]])</f>
        <v>915</v>
      </c>
      <c r="AE15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0" s="50" t="str">
        <f>IF(AND(ISNUMBER(SEARCH("-",Database[[#This Row],[KEYNOTE '#]]))=TRUE,ISNUMBER(--RIGHT(Database[[#This Row],[KEYNOTE '#]]))=FALSE),RIGHT(Database[[#This Row],[KEYNOTE '#]],1),"")</f>
        <v/>
      </c>
      <c r="AG150" s="50">
        <v>148</v>
      </c>
      <c r="AH150" s="50" t="str">
        <f>IF(COUNTIF(Database[[#This Row],[BASE]:[INT. OTHER]],"g"),"INTERIOR",IF(COUNTIF(Database[[#This Row],[ROOF]:[EXT. OTHER]],"n"),"EXTERIOR",Database[[#This Row],[DIVISION '#]]))</f>
        <v>ARCH NOTES</v>
      </c>
      <c r="AI150" s="50" t="str">
        <f>IF(OR(Database[[#This Row],[KEYTIER1]]="INTERIOR",Database[[#This Row],[KEYTIER1]]="EXTERIOR"),"",Database[[#This Row],[DIVISION NAME]])</f>
        <v>BY CATEGORY</v>
      </c>
      <c r="AJ150" s="50" t="str">
        <f>IF(Database[[#This Row],[KEYTIER1]]="INTERIOR","INT",IF(Database[[#This Row],[KEYTIER1]]="EXTERIOR","EXT",Database[[#This Row],[SECTION '#]]))</f>
        <v>GENERAL ANNOTATIONS</v>
      </c>
      <c r="AK150" s="50" t="str">
        <f>IF(OR(Database[[#This Row],[KEYTIER2]]="INT",Database[[#This Row],[KEYTIER2]]="EXT"),"",IF(Database[[#This Row],[SECTION NAME]]="","",Database[[#This Row],[SECTION NAME]]))</f>
        <v/>
      </c>
    </row>
    <row r="151" spans="2:37" ht="58" x14ac:dyDescent="0.35">
      <c r="B151" s="50" t="s">
        <v>71</v>
      </c>
      <c r="C151" s="50" t="s">
        <v>72</v>
      </c>
      <c r="D151" s="50" t="s">
        <v>73</v>
      </c>
      <c r="E151" s="50" t="s">
        <v>98</v>
      </c>
      <c r="F151" s="53"/>
      <c r="G151" s="72">
        <v>916</v>
      </c>
      <c r="H151" s="53" t="s">
        <v>130</v>
      </c>
      <c r="I151" s="64"/>
      <c r="J151" s="52"/>
      <c r="K151" s="52"/>
      <c r="L151" s="52"/>
      <c r="M151" s="52"/>
      <c r="N151" s="54"/>
      <c r="O151" s="66"/>
      <c r="P151" s="51"/>
      <c r="Q151" s="51"/>
      <c r="R151" s="51"/>
      <c r="S151" s="51"/>
      <c r="T151" s="55"/>
      <c r="U151" s="69"/>
      <c r="V151" s="50"/>
      <c r="W151" s="50"/>
      <c r="X151" s="50"/>
      <c r="Y151" s="50"/>
      <c r="Z151" s="50"/>
      <c r="AA151" s="50"/>
      <c r="AB151" s="50"/>
      <c r="AC151" s="50">
        <f>IF(COUNTIF($C$3:C151,C151)=1,1,IF(COUNTIF($E$3:E151,E151)=1,2,0))</f>
        <v>0</v>
      </c>
      <c r="AD151" s="50">
        <f>IF(ISNUMBER(SEARCH("-",Database[[#This Row],[KEYNOTE '#]])),LEFT(Database[[#This Row],[KEYNOTE '#]],FIND("-",Database[[#This Row],[KEYNOTE '#]])-1),Database[[#This Row],[KEYNOTE '#]])</f>
        <v>916</v>
      </c>
      <c r="AE15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1" s="50" t="str">
        <f>IF(AND(ISNUMBER(SEARCH("-",Database[[#This Row],[KEYNOTE '#]]))=TRUE,ISNUMBER(--RIGHT(Database[[#This Row],[KEYNOTE '#]]))=FALSE),RIGHT(Database[[#This Row],[KEYNOTE '#]],1),"")</f>
        <v/>
      </c>
      <c r="AG151" s="50">
        <v>149</v>
      </c>
      <c r="AH151" s="50" t="str">
        <f>IF(COUNTIF(Database[[#This Row],[BASE]:[INT. OTHER]],"g"),"INTERIOR",IF(COUNTIF(Database[[#This Row],[ROOF]:[EXT. OTHER]],"n"),"EXTERIOR",Database[[#This Row],[DIVISION '#]]))</f>
        <v>ARCH NOTES</v>
      </c>
      <c r="AI151" s="50" t="str">
        <f>IF(OR(Database[[#This Row],[KEYTIER1]]="INTERIOR",Database[[#This Row],[KEYTIER1]]="EXTERIOR"),"",Database[[#This Row],[DIVISION NAME]])</f>
        <v>BY CATEGORY</v>
      </c>
      <c r="AJ151" s="50" t="str">
        <f>IF(Database[[#This Row],[KEYTIER1]]="INTERIOR","INT",IF(Database[[#This Row],[KEYTIER1]]="EXTERIOR","EXT",Database[[#This Row],[SECTION '#]]))</f>
        <v>GENERAL ANNOTATIONS</v>
      </c>
      <c r="AK151" s="50" t="str">
        <f>IF(OR(Database[[#This Row],[KEYTIER2]]="INT",Database[[#This Row],[KEYTIER2]]="EXT"),"",IF(Database[[#This Row],[SECTION NAME]]="","",Database[[#This Row],[SECTION NAME]]))</f>
        <v/>
      </c>
    </row>
    <row r="152" spans="2:37" ht="58" x14ac:dyDescent="0.35">
      <c r="B152" s="50" t="s">
        <v>71</v>
      </c>
      <c r="C152" s="50" t="s">
        <v>72</v>
      </c>
      <c r="D152" s="50" t="s">
        <v>73</v>
      </c>
      <c r="E152" s="50" t="s">
        <v>98</v>
      </c>
      <c r="F152" s="53"/>
      <c r="G152" s="72">
        <v>917</v>
      </c>
      <c r="H152" s="53" t="s">
        <v>132</v>
      </c>
      <c r="I152" s="64"/>
      <c r="J152" s="52"/>
      <c r="K152" s="52"/>
      <c r="L152" s="52"/>
      <c r="M152" s="52"/>
      <c r="N152" s="54"/>
      <c r="O152" s="66"/>
      <c r="P152" s="51"/>
      <c r="Q152" s="51"/>
      <c r="R152" s="51"/>
      <c r="S152" s="51"/>
      <c r="T152" s="55"/>
      <c r="U152" s="69"/>
      <c r="V152" s="50"/>
      <c r="W152" s="50"/>
      <c r="X152" s="50"/>
      <c r="Y152" s="50"/>
      <c r="Z152" s="50"/>
      <c r="AA152" s="50"/>
      <c r="AB152" s="50"/>
      <c r="AC152" s="50">
        <f>IF(COUNTIF($C$3:C152,C152)=1,1,IF(COUNTIF($E$3:E152,E152)=1,2,0))</f>
        <v>0</v>
      </c>
      <c r="AD152" s="50">
        <f>IF(ISNUMBER(SEARCH("-",Database[[#This Row],[KEYNOTE '#]])),LEFT(Database[[#This Row],[KEYNOTE '#]],FIND("-",Database[[#This Row],[KEYNOTE '#]])-1),Database[[#This Row],[KEYNOTE '#]])</f>
        <v>917</v>
      </c>
      <c r="AE15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2" s="50" t="str">
        <f>IF(AND(ISNUMBER(SEARCH("-",Database[[#This Row],[KEYNOTE '#]]))=TRUE,ISNUMBER(--RIGHT(Database[[#This Row],[KEYNOTE '#]]))=FALSE),RIGHT(Database[[#This Row],[KEYNOTE '#]],1),"")</f>
        <v/>
      </c>
      <c r="AG152" s="50">
        <v>150</v>
      </c>
      <c r="AH152" s="50" t="str">
        <f>IF(COUNTIF(Database[[#This Row],[BASE]:[INT. OTHER]],"g"),"INTERIOR",IF(COUNTIF(Database[[#This Row],[ROOF]:[EXT. OTHER]],"n"),"EXTERIOR",Database[[#This Row],[DIVISION '#]]))</f>
        <v>ARCH NOTES</v>
      </c>
      <c r="AI152" s="50" t="str">
        <f>IF(OR(Database[[#This Row],[KEYTIER1]]="INTERIOR",Database[[#This Row],[KEYTIER1]]="EXTERIOR"),"",Database[[#This Row],[DIVISION NAME]])</f>
        <v>BY CATEGORY</v>
      </c>
      <c r="AJ152" s="50" t="str">
        <f>IF(Database[[#This Row],[KEYTIER1]]="INTERIOR","INT",IF(Database[[#This Row],[KEYTIER1]]="EXTERIOR","EXT",Database[[#This Row],[SECTION '#]]))</f>
        <v>GENERAL ANNOTATIONS</v>
      </c>
      <c r="AK152" s="50" t="str">
        <f>IF(OR(Database[[#This Row],[KEYTIER2]]="INT",Database[[#This Row],[KEYTIER2]]="EXT"),"",IF(Database[[#This Row],[SECTION NAME]]="","",Database[[#This Row],[SECTION NAME]]))</f>
        <v/>
      </c>
    </row>
    <row r="153" spans="2:37" ht="58" x14ac:dyDescent="0.35">
      <c r="B153" s="50" t="s">
        <v>71</v>
      </c>
      <c r="C153" s="50" t="s">
        <v>72</v>
      </c>
      <c r="D153" s="50" t="s">
        <v>73</v>
      </c>
      <c r="E153" s="50" t="s">
        <v>98</v>
      </c>
      <c r="F153" s="53"/>
      <c r="G153" s="72">
        <v>918</v>
      </c>
      <c r="H153" s="53" t="s">
        <v>134</v>
      </c>
      <c r="I153" s="64"/>
      <c r="J153" s="52"/>
      <c r="K153" s="52"/>
      <c r="L153" s="52"/>
      <c r="M153" s="52"/>
      <c r="N153" s="54"/>
      <c r="O153" s="66"/>
      <c r="P153" s="51"/>
      <c r="Q153" s="51"/>
      <c r="R153" s="51"/>
      <c r="S153" s="51"/>
      <c r="T153" s="55"/>
      <c r="U153" s="69"/>
      <c r="V153" s="50"/>
      <c r="W153" s="50"/>
      <c r="X153" s="50"/>
      <c r="Y153" s="50"/>
      <c r="Z153" s="50"/>
      <c r="AA153" s="50"/>
      <c r="AB153" s="50"/>
      <c r="AC153" s="50">
        <f>IF(COUNTIF($C$3:C153,C153)=1,1,IF(COUNTIF($E$3:E153,E153)=1,2,0))</f>
        <v>0</v>
      </c>
      <c r="AD153" s="50">
        <f>IF(ISNUMBER(SEARCH("-",Database[[#This Row],[KEYNOTE '#]])),LEFT(Database[[#This Row],[KEYNOTE '#]],FIND("-",Database[[#This Row],[KEYNOTE '#]])-1),Database[[#This Row],[KEYNOTE '#]])</f>
        <v>918</v>
      </c>
      <c r="AE15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3" s="50" t="str">
        <f>IF(AND(ISNUMBER(SEARCH("-",Database[[#This Row],[KEYNOTE '#]]))=TRUE,ISNUMBER(--RIGHT(Database[[#This Row],[KEYNOTE '#]]))=FALSE),RIGHT(Database[[#This Row],[KEYNOTE '#]],1),"")</f>
        <v/>
      </c>
      <c r="AG153" s="50">
        <v>151</v>
      </c>
      <c r="AH153" s="50" t="str">
        <f>IF(COUNTIF(Database[[#This Row],[BASE]:[INT. OTHER]],"g"),"INTERIOR",IF(COUNTIF(Database[[#This Row],[ROOF]:[EXT. OTHER]],"n"),"EXTERIOR",Database[[#This Row],[DIVISION '#]]))</f>
        <v>ARCH NOTES</v>
      </c>
      <c r="AI153" s="50" t="str">
        <f>IF(OR(Database[[#This Row],[KEYTIER1]]="INTERIOR",Database[[#This Row],[KEYTIER1]]="EXTERIOR"),"",Database[[#This Row],[DIVISION NAME]])</f>
        <v>BY CATEGORY</v>
      </c>
      <c r="AJ153" s="50" t="str">
        <f>IF(Database[[#This Row],[KEYTIER1]]="INTERIOR","INT",IF(Database[[#This Row],[KEYTIER1]]="EXTERIOR","EXT",Database[[#This Row],[SECTION '#]]))</f>
        <v>GENERAL ANNOTATIONS</v>
      </c>
      <c r="AK153" s="50" t="str">
        <f>IF(OR(Database[[#This Row],[KEYTIER2]]="INT",Database[[#This Row],[KEYTIER2]]="EXT"),"",IF(Database[[#This Row],[SECTION NAME]]="","",Database[[#This Row],[SECTION NAME]]))</f>
        <v/>
      </c>
    </row>
    <row r="154" spans="2:37" ht="58" x14ac:dyDescent="0.35">
      <c r="B154" s="50" t="s">
        <v>71</v>
      </c>
      <c r="C154" s="50" t="s">
        <v>72</v>
      </c>
      <c r="D154" s="50" t="s">
        <v>73</v>
      </c>
      <c r="E154" s="50" t="s">
        <v>98</v>
      </c>
      <c r="F154" s="53"/>
      <c r="G154" s="72">
        <v>919</v>
      </c>
      <c r="H154" s="53" t="s">
        <v>136</v>
      </c>
      <c r="I154" s="64"/>
      <c r="J154" s="52"/>
      <c r="K154" s="52"/>
      <c r="L154" s="52"/>
      <c r="M154" s="52"/>
      <c r="N154" s="54"/>
      <c r="O154" s="66"/>
      <c r="P154" s="51"/>
      <c r="Q154" s="51"/>
      <c r="R154" s="51"/>
      <c r="S154" s="51"/>
      <c r="T154" s="55"/>
      <c r="U154" s="69"/>
      <c r="V154" s="50"/>
      <c r="W154" s="50"/>
      <c r="X154" s="50"/>
      <c r="Y154" s="50"/>
      <c r="Z154" s="50"/>
      <c r="AA154" s="50"/>
      <c r="AB154" s="50"/>
      <c r="AC154" s="50">
        <f>IF(COUNTIF($C$3:C154,C154)=1,1,IF(COUNTIF($E$3:E154,E154)=1,2,0))</f>
        <v>0</v>
      </c>
      <c r="AD154" s="50">
        <f>IF(ISNUMBER(SEARCH("-",Database[[#This Row],[KEYNOTE '#]])),LEFT(Database[[#This Row],[KEYNOTE '#]],FIND("-",Database[[#This Row],[KEYNOTE '#]])-1),Database[[#This Row],[KEYNOTE '#]])</f>
        <v>919</v>
      </c>
      <c r="AE15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4" s="50" t="str">
        <f>IF(AND(ISNUMBER(SEARCH("-",Database[[#This Row],[KEYNOTE '#]]))=TRUE,ISNUMBER(--RIGHT(Database[[#This Row],[KEYNOTE '#]]))=FALSE),RIGHT(Database[[#This Row],[KEYNOTE '#]],1),"")</f>
        <v/>
      </c>
      <c r="AG154" s="50">
        <v>152</v>
      </c>
      <c r="AH154" s="50" t="str">
        <f>IF(COUNTIF(Database[[#This Row],[BASE]:[INT. OTHER]],"g"),"INTERIOR",IF(COUNTIF(Database[[#This Row],[ROOF]:[EXT. OTHER]],"n"),"EXTERIOR",Database[[#This Row],[DIVISION '#]]))</f>
        <v>ARCH NOTES</v>
      </c>
      <c r="AI154" s="50" t="str">
        <f>IF(OR(Database[[#This Row],[KEYTIER1]]="INTERIOR",Database[[#This Row],[KEYTIER1]]="EXTERIOR"),"",Database[[#This Row],[DIVISION NAME]])</f>
        <v>BY CATEGORY</v>
      </c>
      <c r="AJ154" s="50" t="str">
        <f>IF(Database[[#This Row],[KEYTIER1]]="INTERIOR","INT",IF(Database[[#This Row],[KEYTIER1]]="EXTERIOR","EXT",Database[[#This Row],[SECTION '#]]))</f>
        <v>GENERAL ANNOTATIONS</v>
      </c>
      <c r="AK154" s="50" t="str">
        <f>IF(OR(Database[[#This Row],[KEYTIER2]]="INT",Database[[#This Row],[KEYTIER2]]="EXT"),"",IF(Database[[#This Row],[SECTION NAME]]="","",Database[[#This Row],[SECTION NAME]]))</f>
        <v/>
      </c>
    </row>
    <row r="155" spans="2:37" ht="43.5" x14ac:dyDescent="0.35">
      <c r="B155" s="50" t="s">
        <v>71</v>
      </c>
      <c r="C155" s="50" t="s">
        <v>72</v>
      </c>
      <c r="D155" s="50" t="s">
        <v>73</v>
      </c>
      <c r="E155" s="50" t="s">
        <v>137</v>
      </c>
      <c r="F155" s="53"/>
      <c r="G155" s="72">
        <v>1101</v>
      </c>
      <c r="H155" s="53"/>
      <c r="I155" s="64"/>
      <c r="J155" s="52"/>
      <c r="K155" s="52"/>
      <c r="L155" s="52"/>
      <c r="M155" s="52"/>
      <c r="N155" s="54"/>
      <c r="O155" s="66"/>
      <c r="P155" s="51"/>
      <c r="Q155" s="51"/>
      <c r="R155" s="51"/>
      <c r="S155" s="51"/>
      <c r="T155" s="55"/>
      <c r="U155" s="69"/>
      <c r="V155" s="50"/>
      <c r="W155" s="50"/>
      <c r="X155" s="50"/>
      <c r="Y155" s="50"/>
      <c r="Z155" s="50"/>
      <c r="AA155" s="50"/>
      <c r="AB155" s="50"/>
      <c r="AC155" s="50">
        <f>IF(COUNTIF($C$3:C155,C155)=1,1,IF(COUNTIF($E$3:E155,E155)=1,2,0))</f>
        <v>2</v>
      </c>
      <c r="AD155" s="50">
        <f>IF(ISNUMBER(SEARCH("-",Database[[#This Row],[KEYNOTE '#]])),LEFT(Database[[#This Row],[KEYNOTE '#]],FIND("-",Database[[#This Row],[KEYNOTE '#]])-1),Database[[#This Row],[KEYNOTE '#]])</f>
        <v>1101</v>
      </c>
      <c r="AE15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5" s="50" t="str">
        <f>IF(AND(ISNUMBER(SEARCH("-",Database[[#This Row],[KEYNOTE '#]]))=TRUE,ISNUMBER(--RIGHT(Database[[#This Row],[KEYNOTE '#]]))=FALSE),RIGHT(Database[[#This Row],[KEYNOTE '#]],1),"")</f>
        <v/>
      </c>
      <c r="AG155" s="50">
        <v>153</v>
      </c>
      <c r="AH155" s="50" t="str">
        <f>IF(COUNTIF(Database[[#This Row],[BASE]:[INT. OTHER]],"g"),"INTERIOR",IF(COUNTIF(Database[[#This Row],[ROOF]:[EXT. OTHER]],"n"),"EXTERIOR",Database[[#This Row],[DIVISION '#]]))</f>
        <v>ARCH NOTES</v>
      </c>
      <c r="AI155" s="50" t="str">
        <f>IF(OR(Database[[#This Row],[KEYTIER1]]="INTERIOR",Database[[#This Row],[KEYTIER1]]="EXTERIOR"),"",Database[[#This Row],[DIVISION NAME]])</f>
        <v>BY CATEGORY</v>
      </c>
      <c r="AJ155" s="50" t="str">
        <f>IF(Database[[#This Row],[KEYTIER1]]="INTERIOR","INT",IF(Database[[#This Row],[KEYTIER1]]="EXTERIOR","EXT",Database[[#This Row],[SECTION '#]]))</f>
        <v>RAMPS</v>
      </c>
      <c r="AK155" s="50" t="str">
        <f>IF(OR(Database[[#This Row],[KEYTIER2]]="INT",Database[[#This Row],[KEYTIER2]]="EXT"),"",IF(Database[[#This Row],[SECTION NAME]]="","",Database[[#This Row],[SECTION NAME]]))</f>
        <v/>
      </c>
    </row>
    <row r="156" spans="2:37" ht="43.5" x14ac:dyDescent="0.35">
      <c r="B156" s="50" t="s">
        <v>71</v>
      </c>
      <c r="C156" s="50" t="s">
        <v>72</v>
      </c>
      <c r="D156" s="50" t="s">
        <v>73</v>
      </c>
      <c r="E156" s="50" t="s">
        <v>137</v>
      </c>
      <c r="F156" s="53"/>
      <c r="G156" s="72">
        <v>1102</v>
      </c>
      <c r="H156" s="53"/>
      <c r="I156" s="64"/>
      <c r="J156" s="52"/>
      <c r="K156" s="52"/>
      <c r="L156" s="52"/>
      <c r="M156" s="52"/>
      <c r="N156" s="54"/>
      <c r="O156" s="66"/>
      <c r="P156" s="51"/>
      <c r="Q156" s="51"/>
      <c r="R156" s="51"/>
      <c r="S156" s="51"/>
      <c r="T156" s="55"/>
      <c r="U156" s="69"/>
      <c r="V156" s="50"/>
      <c r="W156" s="50"/>
      <c r="X156" s="50"/>
      <c r="Y156" s="50"/>
      <c r="Z156" s="50"/>
      <c r="AA156" s="50"/>
      <c r="AB156" s="50"/>
      <c r="AC156" s="50">
        <f>IF(COUNTIF($C$3:C156,C156)=1,1,IF(COUNTIF($E$3:E156,E156)=1,2,0))</f>
        <v>0</v>
      </c>
      <c r="AD156" s="50">
        <f>IF(ISNUMBER(SEARCH("-",Database[[#This Row],[KEYNOTE '#]])),LEFT(Database[[#This Row],[KEYNOTE '#]],FIND("-",Database[[#This Row],[KEYNOTE '#]])-1),Database[[#This Row],[KEYNOTE '#]])</f>
        <v>1102</v>
      </c>
      <c r="AE15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6" s="50" t="str">
        <f>IF(AND(ISNUMBER(SEARCH("-",Database[[#This Row],[KEYNOTE '#]]))=TRUE,ISNUMBER(--RIGHT(Database[[#This Row],[KEYNOTE '#]]))=FALSE),RIGHT(Database[[#This Row],[KEYNOTE '#]],1),"")</f>
        <v/>
      </c>
      <c r="AG156" s="50">
        <v>154</v>
      </c>
      <c r="AH156" s="50" t="str">
        <f>IF(COUNTIF(Database[[#This Row],[BASE]:[INT. OTHER]],"g"),"INTERIOR",IF(COUNTIF(Database[[#This Row],[ROOF]:[EXT. OTHER]],"n"),"EXTERIOR",Database[[#This Row],[DIVISION '#]]))</f>
        <v>ARCH NOTES</v>
      </c>
      <c r="AI156" s="50" t="str">
        <f>IF(OR(Database[[#This Row],[KEYTIER1]]="INTERIOR",Database[[#This Row],[KEYTIER1]]="EXTERIOR"),"",Database[[#This Row],[DIVISION NAME]])</f>
        <v>BY CATEGORY</v>
      </c>
      <c r="AJ156" s="50" t="str">
        <f>IF(Database[[#This Row],[KEYTIER1]]="INTERIOR","INT",IF(Database[[#This Row],[KEYTIER1]]="EXTERIOR","EXT",Database[[#This Row],[SECTION '#]]))</f>
        <v>RAMPS</v>
      </c>
      <c r="AK156" s="50" t="str">
        <f>IF(OR(Database[[#This Row],[KEYTIER2]]="INT",Database[[#This Row],[KEYTIER2]]="EXT"),"",IF(Database[[#This Row],[SECTION NAME]]="","",Database[[#This Row],[SECTION NAME]]))</f>
        <v/>
      </c>
    </row>
    <row r="157" spans="2:37" ht="43.5" x14ac:dyDescent="0.35">
      <c r="B157" s="50" t="s">
        <v>71</v>
      </c>
      <c r="C157" s="50" t="s">
        <v>72</v>
      </c>
      <c r="D157" s="50" t="s">
        <v>73</v>
      </c>
      <c r="E157" s="50" t="s">
        <v>137</v>
      </c>
      <c r="F157" s="53"/>
      <c r="G157" s="72">
        <v>1103</v>
      </c>
      <c r="H157" s="53"/>
      <c r="I157" s="64"/>
      <c r="J157" s="52"/>
      <c r="K157" s="52"/>
      <c r="L157" s="52"/>
      <c r="M157" s="52"/>
      <c r="N157" s="54"/>
      <c r="O157" s="66"/>
      <c r="P157" s="51"/>
      <c r="Q157" s="51"/>
      <c r="R157" s="51"/>
      <c r="S157" s="51"/>
      <c r="T157" s="55"/>
      <c r="U157" s="69"/>
      <c r="V157" s="50"/>
      <c r="W157" s="50"/>
      <c r="X157" s="50"/>
      <c r="Y157" s="50"/>
      <c r="Z157" s="50"/>
      <c r="AA157" s="50"/>
      <c r="AB157" s="50"/>
      <c r="AC157" s="50">
        <f>IF(COUNTIF($C$3:C157,C157)=1,1,IF(COUNTIF($E$3:E157,E157)=1,2,0))</f>
        <v>0</v>
      </c>
      <c r="AD157" s="50">
        <f>IF(ISNUMBER(SEARCH("-",Database[[#This Row],[KEYNOTE '#]])),LEFT(Database[[#This Row],[KEYNOTE '#]],FIND("-",Database[[#This Row],[KEYNOTE '#]])-1),Database[[#This Row],[KEYNOTE '#]])</f>
        <v>1103</v>
      </c>
      <c r="AE15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7" s="50" t="str">
        <f>IF(AND(ISNUMBER(SEARCH("-",Database[[#This Row],[KEYNOTE '#]]))=TRUE,ISNUMBER(--RIGHT(Database[[#This Row],[KEYNOTE '#]]))=FALSE),RIGHT(Database[[#This Row],[KEYNOTE '#]],1),"")</f>
        <v/>
      </c>
      <c r="AG157" s="50">
        <v>155</v>
      </c>
      <c r="AH157" s="50" t="str">
        <f>IF(COUNTIF(Database[[#This Row],[BASE]:[INT. OTHER]],"g"),"INTERIOR",IF(COUNTIF(Database[[#This Row],[ROOF]:[EXT. OTHER]],"n"),"EXTERIOR",Database[[#This Row],[DIVISION '#]]))</f>
        <v>ARCH NOTES</v>
      </c>
      <c r="AI157" s="50" t="str">
        <f>IF(OR(Database[[#This Row],[KEYTIER1]]="INTERIOR",Database[[#This Row],[KEYTIER1]]="EXTERIOR"),"",Database[[#This Row],[DIVISION NAME]])</f>
        <v>BY CATEGORY</v>
      </c>
      <c r="AJ157" s="50" t="str">
        <f>IF(Database[[#This Row],[KEYTIER1]]="INTERIOR","INT",IF(Database[[#This Row],[KEYTIER1]]="EXTERIOR","EXT",Database[[#This Row],[SECTION '#]]))</f>
        <v>RAMPS</v>
      </c>
      <c r="AK157" s="50" t="str">
        <f>IF(OR(Database[[#This Row],[KEYTIER2]]="INT",Database[[#This Row],[KEYTIER2]]="EXT"),"",IF(Database[[#This Row],[SECTION NAME]]="","",Database[[#This Row],[SECTION NAME]]))</f>
        <v/>
      </c>
    </row>
    <row r="158" spans="2:37" ht="43.5" x14ac:dyDescent="0.35">
      <c r="B158" s="50" t="s">
        <v>71</v>
      </c>
      <c r="C158" s="50" t="s">
        <v>72</v>
      </c>
      <c r="D158" s="50" t="s">
        <v>73</v>
      </c>
      <c r="E158" s="50" t="s">
        <v>141</v>
      </c>
      <c r="F158" s="53"/>
      <c r="G158" s="72">
        <v>1201</v>
      </c>
      <c r="H158" s="53"/>
      <c r="I158" s="64"/>
      <c r="J158" s="52"/>
      <c r="K158" s="52"/>
      <c r="L158" s="52"/>
      <c r="M158" s="52"/>
      <c r="N158" s="54"/>
      <c r="O158" s="66"/>
      <c r="P158" s="51"/>
      <c r="Q158" s="51"/>
      <c r="R158" s="51"/>
      <c r="S158" s="51"/>
      <c r="T158" s="55"/>
      <c r="U158" s="69"/>
      <c r="V158" s="50"/>
      <c r="W158" s="50"/>
      <c r="X158" s="50"/>
      <c r="Y158" s="50"/>
      <c r="Z158" s="50"/>
      <c r="AA158" s="50"/>
      <c r="AB158" s="50"/>
      <c r="AC158" s="50">
        <f>IF(COUNTIF($C$3:C158,C158)=1,1,IF(COUNTIF($E$3:E158,E158)=1,2,0))</f>
        <v>2</v>
      </c>
      <c r="AD158" s="50">
        <f>IF(ISNUMBER(SEARCH("-",Database[[#This Row],[KEYNOTE '#]])),LEFT(Database[[#This Row],[KEYNOTE '#]],FIND("-",Database[[#This Row],[KEYNOTE '#]])-1),Database[[#This Row],[KEYNOTE '#]])</f>
        <v>1201</v>
      </c>
      <c r="AE15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8" s="50" t="str">
        <f>IF(AND(ISNUMBER(SEARCH("-",Database[[#This Row],[KEYNOTE '#]]))=TRUE,ISNUMBER(--RIGHT(Database[[#This Row],[KEYNOTE '#]]))=FALSE),RIGHT(Database[[#This Row],[KEYNOTE '#]],1),"")</f>
        <v/>
      </c>
      <c r="AG158" s="50">
        <v>156</v>
      </c>
      <c r="AH158" s="50" t="str">
        <f>IF(COUNTIF(Database[[#This Row],[BASE]:[INT. OTHER]],"g"),"INTERIOR",IF(COUNTIF(Database[[#This Row],[ROOF]:[EXT. OTHER]],"n"),"EXTERIOR",Database[[#This Row],[DIVISION '#]]))</f>
        <v>ARCH NOTES</v>
      </c>
      <c r="AI158" s="50" t="str">
        <f>IF(OR(Database[[#This Row],[KEYTIER1]]="INTERIOR",Database[[#This Row],[KEYTIER1]]="EXTERIOR"),"",Database[[#This Row],[DIVISION NAME]])</f>
        <v>BY CATEGORY</v>
      </c>
      <c r="AJ158" s="50" t="str">
        <f>IF(Database[[#This Row],[KEYTIER1]]="INTERIOR","INT",IF(Database[[#This Row],[KEYTIER1]]="EXTERIOR","EXT",Database[[#This Row],[SECTION '#]]))</f>
        <v>ROOFS</v>
      </c>
      <c r="AK158" s="50" t="str">
        <f>IF(OR(Database[[#This Row],[KEYTIER2]]="INT",Database[[#This Row],[KEYTIER2]]="EXT"),"",IF(Database[[#This Row],[SECTION NAME]]="","",Database[[#This Row],[SECTION NAME]]))</f>
        <v/>
      </c>
    </row>
    <row r="159" spans="2:37" ht="43.5" x14ac:dyDescent="0.35">
      <c r="B159" s="50" t="s">
        <v>71</v>
      </c>
      <c r="C159" s="50" t="s">
        <v>72</v>
      </c>
      <c r="D159" s="50" t="s">
        <v>73</v>
      </c>
      <c r="E159" s="50" t="s">
        <v>141</v>
      </c>
      <c r="F159" s="53"/>
      <c r="G159" s="72">
        <v>1202</v>
      </c>
      <c r="H159" s="53"/>
      <c r="I159" s="64"/>
      <c r="J159" s="52"/>
      <c r="K159" s="52"/>
      <c r="L159" s="52"/>
      <c r="M159" s="52"/>
      <c r="N159" s="54"/>
      <c r="O159" s="66"/>
      <c r="P159" s="51"/>
      <c r="Q159" s="51"/>
      <c r="R159" s="51"/>
      <c r="S159" s="51"/>
      <c r="T159" s="55"/>
      <c r="U159" s="69"/>
      <c r="V159" s="50"/>
      <c r="W159" s="50"/>
      <c r="X159" s="50"/>
      <c r="Y159" s="50"/>
      <c r="Z159" s="50"/>
      <c r="AA159" s="50"/>
      <c r="AB159" s="50"/>
      <c r="AC159" s="50">
        <f>IF(COUNTIF($C$3:C159,C159)=1,1,IF(COUNTIF($E$3:E159,E159)=1,2,0))</f>
        <v>0</v>
      </c>
      <c r="AD159" s="50">
        <f>IF(ISNUMBER(SEARCH("-",Database[[#This Row],[KEYNOTE '#]])),LEFT(Database[[#This Row],[KEYNOTE '#]],FIND("-",Database[[#This Row],[KEYNOTE '#]])-1),Database[[#This Row],[KEYNOTE '#]])</f>
        <v>1202</v>
      </c>
      <c r="AE15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9" s="50" t="str">
        <f>IF(AND(ISNUMBER(SEARCH("-",Database[[#This Row],[KEYNOTE '#]]))=TRUE,ISNUMBER(--RIGHT(Database[[#This Row],[KEYNOTE '#]]))=FALSE),RIGHT(Database[[#This Row],[KEYNOTE '#]],1),"")</f>
        <v/>
      </c>
      <c r="AG159" s="50">
        <v>157</v>
      </c>
      <c r="AH159" s="50" t="str">
        <f>IF(COUNTIF(Database[[#This Row],[BASE]:[INT. OTHER]],"g"),"INTERIOR",IF(COUNTIF(Database[[#This Row],[ROOF]:[EXT. OTHER]],"n"),"EXTERIOR",Database[[#This Row],[DIVISION '#]]))</f>
        <v>ARCH NOTES</v>
      </c>
      <c r="AI159" s="50" t="str">
        <f>IF(OR(Database[[#This Row],[KEYTIER1]]="INTERIOR",Database[[#This Row],[KEYTIER1]]="EXTERIOR"),"",Database[[#This Row],[DIVISION NAME]])</f>
        <v>BY CATEGORY</v>
      </c>
      <c r="AJ159" s="50" t="str">
        <f>IF(Database[[#This Row],[KEYTIER1]]="INTERIOR","INT",IF(Database[[#This Row],[KEYTIER1]]="EXTERIOR","EXT",Database[[#This Row],[SECTION '#]]))</f>
        <v>ROOFS</v>
      </c>
      <c r="AK159" s="50" t="str">
        <f>IF(OR(Database[[#This Row],[KEYTIER2]]="INT",Database[[#This Row],[KEYTIER2]]="EXT"),"",IF(Database[[#This Row],[SECTION NAME]]="","",Database[[#This Row],[SECTION NAME]]))</f>
        <v/>
      </c>
    </row>
    <row r="160" spans="2:37" ht="43.5" x14ac:dyDescent="0.35">
      <c r="B160" s="50" t="s">
        <v>71</v>
      </c>
      <c r="C160" s="50" t="s">
        <v>72</v>
      </c>
      <c r="D160" s="50" t="s">
        <v>73</v>
      </c>
      <c r="E160" s="50" t="s">
        <v>141</v>
      </c>
      <c r="F160" s="53"/>
      <c r="G160" s="72">
        <v>1203</v>
      </c>
      <c r="H160" s="53"/>
      <c r="I160" s="64"/>
      <c r="J160" s="52"/>
      <c r="K160" s="52"/>
      <c r="L160" s="52"/>
      <c r="M160" s="52"/>
      <c r="N160" s="54"/>
      <c r="O160" s="66"/>
      <c r="P160" s="51"/>
      <c r="Q160" s="51"/>
      <c r="R160" s="51"/>
      <c r="S160" s="51"/>
      <c r="T160" s="55"/>
      <c r="U160" s="69"/>
      <c r="V160" s="50"/>
      <c r="W160" s="50"/>
      <c r="X160" s="50"/>
      <c r="Y160" s="50"/>
      <c r="Z160" s="50"/>
      <c r="AA160" s="50"/>
      <c r="AB160" s="50"/>
      <c r="AC160" s="50">
        <f>IF(COUNTIF($C$3:C160,C160)=1,1,IF(COUNTIF($E$3:E160,E160)=1,2,0))</f>
        <v>0</v>
      </c>
      <c r="AD160" s="50">
        <f>IF(ISNUMBER(SEARCH("-",Database[[#This Row],[KEYNOTE '#]])),LEFT(Database[[#This Row],[KEYNOTE '#]],FIND("-",Database[[#This Row],[KEYNOTE '#]])-1),Database[[#This Row],[KEYNOTE '#]])</f>
        <v>1203</v>
      </c>
      <c r="AE16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0" s="50" t="str">
        <f>IF(AND(ISNUMBER(SEARCH("-",Database[[#This Row],[KEYNOTE '#]]))=TRUE,ISNUMBER(--RIGHT(Database[[#This Row],[KEYNOTE '#]]))=FALSE),RIGHT(Database[[#This Row],[KEYNOTE '#]],1),"")</f>
        <v/>
      </c>
      <c r="AG160" s="50">
        <v>158</v>
      </c>
      <c r="AH160" s="50" t="str">
        <f>IF(COUNTIF(Database[[#This Row],[BASE]:[INT. OTHER]],"g"),"INTERIOR",IF(COUNTIF(Database[[#This Row],[ROOF]:[EXT. OTHER]],"n"),"EXTERIOR",Database[[#This Row],[DIVISION '#]]))</f>
        <v>ARCH NOTES</v>
      </c>
      <c r="AI160" s="50" t="str">
        <f>IF(OR(Database[[#This Row],[KEYTIER1]]="INTERIOR",Database[[#This Row],[KEYTIER1]]="EXTERIOR"),"",Database[[#This Row],[DIVISION NAME]])</f>
        <v>BY CATEGORY</v>
      </c>
      <c r="AJ160" s="50" t="str">
        <f>IF(Database[[#This Row],[KEYTIER1]]="INTERIOR","INT",IF(Database[[#This Row],[KEYTIER1]]="EXTERIOR","EXT",Database[[#This Row],[SECTION '#]]))</f>
        <v>ROOFS</v>
      </c>
      <c r="AK160" s="50" t="str">
        <f>IF(OR(Database[[#This Row],[KEYTIER2]]="INT",Database[[#This Row],[KEYTIER2]]="EXT"),"",IF(Database[[#This Row],[SECTION NAME]]="","",Database[[#This Row],[SECTION NAME]]))</f>
        <v/>
      </c>
    </row>
    <row r="161" spans="2:37" ht="43.5" x14ac:dyDescent="0.35">
      <c r="B161" s="50" t="s">
        <v>71</v>
      </c>
      <c r="C161" s="50" t="s">
        <v>72</v>
      </c>
      <c r="D161" s="50" t="s">
        <v>73</v>
      </c>
      <c r="E161" s="50" t="s">
        <v>145</v>
      </c>
      <c r="F161" s="53"/>
      <c r="G161" s="72">
        <v>1301</v>
      </c>
      <c r="H161" s="53"/>
      <c r="I161" s="64"/>
      <c r="J161" s="52"/>
      <c r="K161" s="52"/>
      <c r="L161" s="52"/>
      <c r="M161" s="52"/>
      <c r="N161" s="54"/>
      <c r="O161" s="66"/>
      <c r="P161" s="51"/>
      <c r="Q161" s="51"/>
      <c r="R161" s="51"/>
      <c r="S161" s="51"/>
      <c r="T161" s="55"/>
      <c r="U161" s="69"/>
      <c r="V161" s="50"/>
      <c r="W161" s="50"/>
      <c r="X161" s="50"/>
      <c r="Y161" s="50"/>
      <c r="Z161" s="50"/>
      <c r="AA161" s="50"/>
      <c r="AB161" s="50"/>
      <c r="AC161" s="50">
        <f>IF(COUNTIF($C$3:C161,C161)=1,1,IF(COUNTIF($E$3:E161,E161)=1,2,0))</f>
        <v>2</v>
      </c>
      <c r="AD161" s="50">
        <f>IF(ISNUMBER(SEARCH("-",Database[[#This Row],[KEYNOTE '#]])),LEFT(Database[[#This Row],[KEYNOTE '#]],FIND("-",Database[[#This Row],[KEYNOTE '#]])-1),Database[[#This Row],[KEYNOTE '#]])</f>
        <v>1301</v>
      </c>
      <c r="AE16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1" s="50" t="str">
        <f>IF(AND(ISNUMBER(SEARCH("-",Database[[#This Row],[KEYNOTE '#]]))=TRUE,ISNUMBER(--RIGHT(Database[[#This Row],[KEYNOTE '#]]))=FALSE),RIGHT(Database[[#This Row],[KEYNOTE '#]],1),"")</f>
        <v/>
      </c>
      <c r="AG161" s="50">
        <v>159</v>
      </c>
      <c r="AH161" s="50" t="str">
        <f>IF(COUNTIF(Database[[#This Row],[BASE]:[INT. OTHER]],"g"),"INTERIOR",IF(COUNTIF(Database[[#This Row],[ROOF]:[EXT. OTHER]],"n"),"EXTERIOR",Database[[#This Row],[DIVISION '#]]))</f>
        <v>ARCH NOTES</v>
      </c>
      <c r="AI161" s="50" t="str">
        <f>IF(OR(Database[[#This Row],[KEYTIER1]]="INTERIOR",Database[[#This Row],[KEYTIER1]]="EXTERIOR"),"",Database[[#This Row],[DIVISION NAME]])</f>
        <v>BY CATEGORY</v>
      </c>
      <c r="AJ161" s="50" t="str">
        <f>IF(Database[[#This Row],[KEYTIER1]]="INTERIOR","INT",IF(Database[[#This Row],[KEYTIER1]]="EXTERIOR","EXT",Database[[#This Row],[SECTION '#]]))</f>
        <v>SITE</v>
      </c>
      <c r="AK161" s="50" t="str">
        <f>IF(OR(Database[[#This Row],[KEYTIER2]]="INT",Database[[#This Row],[KEYTIER2]]="EXT"),"",IF(Database[[#This Row],[SECTION NAME]]="","",Database[[#This Row],[SECTION NAME]]))</f>
        <v/>
      </c>
    </row>
    <row r="162" spans="2:37" ht="43.5" x14ac:dyDescent="0.35">
      <c r="B162" s="50" t="s">
        <v>71</v>
      </c>
      <c r="C162" s="50" t="s">
        <v>72</v>
      </c>
      <c r="D162" s="50" t="s">
        <v>73</v>
      </c>
      <c r="E162" s="50" t="s">
        <v>145</v>
      </c>
      <c r="F162" s="53"/>
      <c r="G162" s="72">
        <v>1302</v>
      </c>
      <c r="H162" s="53"/>
      <c r="I162" s="64"/>
      <c r="J162" s="52"/>
      <c r="K162" s="52"/>
      <c r="L162" s="52"/>
      <c r="M162" s="52"/>
      <c r="N162" s="54"/>
      <c r="O162" s="66"/>
      <c r="P162" s="51"/>
      <c r="Q162" s="51"/>
      <c r="R162" s="51"/>
      <c r="S162" s="51"/>
      <c r="T162" s="55"/>
      <c r="U162" s="69"/>
      <c r="V162" s="50"/>
      <c r="W162" s="50"/>
      <c r="X162" s="50"/>
      <c r="Y162" s="50"/>
      <c r="Z162" s="50"/>
      <c r="AA162" s="50"/>
      <c r="AB162" s="50"/>
      <c r="AC162" s="50">
        <f>IF(COUNTIF($C$3:C162,C162)=1,1,IF(COUNTIF($E$3:E162,E162)=1,2,0))</f>
        <v>0</v>
      </c>
      <c r="AD162" s="50">
        <f>IF(ISNUMBER(SEARCH("-",Database[[#This Row],[KEYNOTE '#]])),LEFT(Database[[#This Row],[KEYNOTE '#]],FIND("-",Database[[#This Row],[KEYNOTE '#]])-1),Database[[#This Row],[KEYNOTE '#]])</f>
        <v>1302</v>
      </c>
      <c r="AE16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2" s="50" t="str">
        <f>IF(AND(ISNUMBER(SEARCH("-",Database[[#This Row],[KEYNOTE '#]]))=TRUE,ISNUMBER(--RIGHT(Database[[#This Row],[KEYNOTE '#]]))=FALSE),RIGHT(Database[[#This Row],[KEYNOTE '#]],1),"")</f>
        <v/>
      </c>
      <c r="AG162" s="50">
        <v>160</v>
      </c>
      <c r="AH162" s="50" t="str">
        <f>IF(COUNTIF(Database[[#This Row],[BASE]:[INT. OTHER]],"g"),"INTERIOR",IF(COUNTIF(Database[[#This Row],[ROOF]:[EXT. OTHER]],"n"),"EXTERIOR",Database[[#This Row],[DIVISION '#]]))</f>
        <v>ARCH NOTES</v>
      </c>
      <c r="AI162" s="50" t="str">
        <f>IF(OR(Database[[#This Row],[KEYTIER1]]="INTERIOR",Database[[#This Row],[KEYTIER1]]="EXTERIOR"),"",Database[[#This Row],[DIVISION NAME]])</f>
        <v>BY CATEGORY</v>
      </c>
      <c r="AJ162" s="50" t="str">
        <f>IF(Database[[#This Row],[KEYTIER1]]="INTERIOR","INT",IF(Database[[#This Row],[KEYTIER1]]="EXTERIOR","EXT",Database[[#This Row],[SECTION '#]]))</f>
        <v>SITE</v>
      </c>
      <c r="AK162" s="50" t="str">
        <f>IF(OR(Database[[#This Row],[KEYTIER2]]="INT",Database[[#This Row],[KEYTIER2]]="EXT"),"",IF(Database[[#This Row],[SECTION NAME]]="","",Database[[#This Row],[SECTION NAME]]))</f>
        <v/>
      </c>
    </row>
    <row r="163" spans="2:37" ht="43.5" x14ac:dyDescent="0.35">
      <c r="B163" s="50" t="s">
        <v>71</v>
      </c>
      <c r="C163" s="50" t="s">
        <v>72</v>
      </c>
      <c r="D163" s="50" t="s">
        <v>73</v>
      </c>
      <c r="E163" s="50" t="s">
        <v>145</v>
      </c>
      <c r="F163" s="53"/>
      <c r="G163" s="72">
        <v>1303</v>
      </c>
      <c r="H163" s="53"/>
      <c r="I163" s="64"/>
      <c r="J163" s="52"/>
      <c r="K163" s="52"/>
      <c r="L163" s="52"/>
      <c r="M163" s="52"/>
      <c r="N163" s="54"/>
      <c r="O163" s="66"/>
      <c r="P163" s="51"/>
      <c r="Q163" s="51"/>
      <c r="R163" s="51"/>
      <c r="S163" s="51"/>
      <c r="T163" s="55"/>
      <c r="U163" s="69"/>
      <c r="V163" s="50"/>
      <c r="W163" s="50"/>
      <c r="X163" s="50"/>
      <c r="Y163" s="50"/>
      <c r="Z163" s="50"/>
      <c r="AA163" s="50"/>
      <c r="AB163" s="50"/>
      <c r="AC163" s="50">
        <f>IF(COUNTIF($C$3:C163,C163)=1,1,IF(COUNTIF($E$3:E163,E163)=1,2,0))</f>
        <v>0</v>
      </c>
      <c r="AD163" s="50">
        <f>IF(ISNUMBER(SEARCH("-",Database[[#This Row],[KEYNOTE '#]])),LEFT(Database[[#This Row],[KEYNOTE '#]],FIND("-",Database[[#This Row],[KEYNOTE '#]])-1),Database[[#This Row],[KEYNOTE '#]])</f>
        <v>1303</v>
      </c>
      <c r="AE16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3" s="50" t="str">
        <f>IF(AND(ISNUMBER(SEARCH("-",Database[[#This Row],[KEYNOTE '#]]))=TRUE,ISNUMBER(--RIGHT(Database[[#This Row],[KEYNOTE '#]]))=FALSE),RIGHT(Database[[#This Row],[KEYNOTE '#]],1),"")</f>
        <v/>
      </c>
      <c r="AG163" s="50">
        <v>161</v>
      </c>
      <c r="AH163" s="50" t="str">
        <f>IF(COUNTIF(Database[[#This Row],[BASE]:[INT. OTHER]],"g"),"INTERIOR",IF(COUNTIF(Database[[#This Row],[ROOF]:[EXT. OTHER]],"n"),"EXTERIOR",Database[[#This Row],[DIVISION '#]]))</f>
        <v>ARCH NOTES</v>
      </c>
      <c r="AI163" s="50" t="str">
        <f>IF(OR(Database[[#This Row],[KEYTIER1]]="INTERIOR",Database[[#This Row],[KEYTIER1]]="EXTERIOR"),"",Database[[#This Row],[DIVISION NAME]])</f>
        <v>BY CATEGORY</v>
      </c>
      <c r="AJ163" s="50" t="str">
        <f>IF(Database[[#This Row],[KEYTIER1]]="INTERIOR","INT",IF(Database[[#This Row],[KEYTIER1]]="EXTERIOR","EXT",Database[[#This Row],[SECTION '#]]))</f>
        <v>SITE</v>
      </c>
      <c r="AK163" s="50" t="str">
        <f>IF(OR(Database[[#This Row],[KEYTIER2]]="INT",Database[[#This Row],[KEYTIER2]]="EXT"),"",IF(Database[[#This Row],[SECTION NAME]]="","",Database[[#This Row],[SECTION NAME]]))</f>
        <v/>
      </c>
    </row>
    <row r="164" spans="2:37" ht="43.5" x14ac:dyDescent="0.35">
      <c r="B164" s="50" t="s">
        <v>71</v>
      </c>
      <c r="C164" s="50" t="s">
        <v>72</v>
      </c>
      <c r="D164" s="50" t="s">
        <v>73</v>
      </c>
      <c r="E164" s="50" t="s">
        <v>149</v>
      </c>
      <c r="F164" s="53"/>
      <c r="G164" s="72">
        <v>1401</v>
      </c>
      <c r="H164" s="53"/>
      <c r="I164" s="64"/>
      <c r="J164" s="52"/>
      <c r="K164" s="52"/>
      <c r="L164" s="52"/>
      <c r="M164" s="52"/>
      <c r="N164" s="54"/>
      <c r="O164" s="66"/>
      <c r="P164" s="51"/>
      <c r="Q164" s="51"/>
      <c r="R164" s="51"/>
      <c r="S164" s="51"/>
      <c r="T164" s="55"/>
      <c r="U164" s="69"/>
      <c r="V164" s="50"/>
      <c r="W164" s="50"/>
      <c r="X164" s="50"/>
      <c r="Y164" s="50"/>
      <c r="Z164" s="50"/>
      <c r="AA164" s="50"/>
      <c r="AB164" s="50"/>
      <c r="AC164" s="50">
        <f>IF(COUNTIF($C$3:C164,C164)=1,1,IF(COUNTIF($E$3:E164,E164)=1,2,0))</f>
        <v>2</v>
      </c>
      <c r="AD164" s="50">
        <f>IF(ISNUMBER(SEARCH("-",Database[[#This Row],[KEYNOTE '#]])),LEFT(Database[[#This Row],[KEYNOTE '#]],FIND("-",Database[[#This Row],[KEYNOTE '#]])-1),Database[[#This Row],[KEYNOTE '#]])</f>
        <v>1401</v>
      </c>
      <c r="AE16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4" s="50" t="str">
        <f>IF(AND(ISNUMBER(SEARCH("-",Database[[#This Row],[KEYNOTE '#]]))=TRUE,ISNUMBER(--RIGHT(Database[[#This Row],[KEYNOTE '#]]))=FALSE),RIGHT(Database[[#This Row],[KEYNOTE '#]],1),"")</f>
        <v/>
      </c>
      <c r="AG164" s="50">
        <v>162</v>
      </c>
      <c r="AH164" s="50" t="str">
        <f>IF(COUNTIF(Database[[#This Row],[BASE]:[INT. OTHER]],"g"),"INTERIOR",IF(COUNTIF(Database[[#This Row],[ROOF]:[EXT. OTHER]],"n"),"EXTERIOR",Database[[#This Row],[DIVISION '#]]))</f>
        <v>ARCH NOTES</v>
      </c>
      <c r="AI164" s="50" t="str">
        <f>IF(OR(Database[[#This Row],[KEYTIER1]]="INTERIOR",Database[[#This Row],[KEYTIER1]]="EXTERIOR"),"",Database[[#This Row],[DIVISION NAME]])</f>
        <v>BY CATEGORY</v>
      </c>
      <c r="AJ164" s="50" t="str">
        <f>IF(Database[[#This Row],[KEYTIER1]]="INTERIOR","INT",IF(Database[[#This Row],[KEYTIER1]]="EXTERIOR","EXT",Database[[#This Row],[SECTION '#]]))</f>
        <v>STAIRS</v>
      </c>
      <c r="AK164" s="50" t="str">
        <f>IF(OR(Database[[#This Row],[KEYTIER2]]="INT",Database[[#This Row],[KEYTIER2]]="EXT"),"",IF(Database[[#This Row],[SECTION NAME]]="","",Database[[#This Row],[SECTION NAME]]))</f>
        <v/>
      </c>
    </row>
    <row r="165" spans="2:37" ht="43.5" x14ac:dyDescent="0.35">
      <c r="B165" s="50" t="s">
        <v>71</v>
      </c>
      <c r="C165" s="50" t="s">
        <v>72</v>
      </c>
      <c r="D165" s="50" t="s">
        <v>73</v>
      </c>
      <c r="E165" s="50" t="s">
        <v>149</v>
      </c>
      <c r="F165" s="53"/>
      <c r="G165" s="72">
        <v>1402</v>
      </c>
      <c r="H165" s="53"/>
      <c r="I165" s="64"/>
      <c r="J165" s="52"/>
      <c r="K165" s="52"/>
      <c r="L165" s="52"/>
      <c r="M165" s="52"/>
      <c r="N165" s="54"/>
      <c r="O165" s="66"/>
      <c r="P165" s="51"/>
      <c r="Q165" s="51"/>
      <c r="R165" s="51"/>
      <c r="S165" s="51"/>
      <c r="T165" s="55"/>
      <c r="U165" s="69"/>
      <c r="V165" s="50"/>
      <c r="W165" s="50"/>
      <c r="X165" s="50"/>
      <c r="Y165" s="50"/>
      <c r="Z165" s="50"/>
      <c r="AA165" s="50"/>
      <c r="AB165" s="50"/>
      <c r="AC165" s="50">
        <f>IF(COUNTIF($C$3:C165,C165)=1,1,IF(COUNTIF($E$3:E165,E165)=1,2,0))</f>
        <v>0</v>
      </c>
      <c r="AD165" s="50">
        <f>IF(ISNUMBER(SEARCH("-",Database[[#This Row],[KEYNOTE '#]])),LEFT(Database[[#This Row],[KEYNOTE '#]],FIND("-",Database[[#This Row],[KEYNOTE '#]])-1),Database[[#This Row],[KEYNOTE '#]])</f>
        <v>1402</v>
      </c>
      <c r="AE16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5" s="50" t="str">
        <f>IF(AND(ISNUMBER(SEARCH("-",Database[[#This Row],[KEYNOTE '#]]))=TRUE,ISNUMBER(--RIGHT(Database[[#This Row],[KEYNOTE '#]]))=FALSE),RIGHT(Database[[#This Row],[KEYNOTE '#]],1),"")</f>
        <v/>
      </c>
      <c r="AG165" s="50">
        <v>163</v>
      </c>
      <c r="AH165" s="50" t="str">
        <f>IF(COUNTIF(Database[[#This Row],[BASE]:[INT. OTHER]],"g"),"INTERIOR",IF(COUNTIF(Database[[#This Row],[ROOF]:[EXT. OTHER]],"n"),"EXTERIOR",Database[[#This Row],[DIVISION '#]]))</f>
        <v>ARCH NOTES</v>
      </c>
      <c r="AI165" s="50" t="str">
        <f>IF(OR(Database[[#This Row],[KEYTIER1]]="INTERIOR",Database[[#This Row],[KEYTIER1]]="EXTERIOR"),"",Database[[#This Row],[DIVISION NAME]])</f>
        <v>BY CATEGORY</v>
      </c>
      <c r="AJ165" s="50" t="str">
        <f>IF(Database[[#This Row],[KEYTIER1]]="INTERIOR","INT",IF(Database[[#This Row],[KEYTIER1]]="EXTERIOR","EXT",Database[[#This Row],[SECTION '#]]))</f>
        <v>STAIRS</v>
      </c>
      <c r="AK165" s="50" t="str">
        <f>IF(OR(Database[[#This Row],[KEYTIER2]]="INT",Database[[#This Row],[KEYTIER2]]="EXT"),"",IF(Database[[#This Row],[SECTION NAME]]="","",Database[[#This Row],[SECTION NAME]]))</f>
        <v/>
      </c>
    </row>
    <row r="166" spans="2:37" ht="43.5" x14ac:dyDescent="0.35">
      <c r="B166" s="50" t="s">
        <v>71</v>
      </c>
      <c r="C166" s="50" t="s">
        <v>72</v>
      </c>
      <c r="D166" s="50" t="s">
        <v>73</v>
      </c>
      <c r="E166" s="50" t="s">
        <v>149</v>
      </c>
      <c r="F166" s="53"/>
      <c r="G166" s="72">
        <v>1403</v>
      </c>
      <c r="H166" s="53"/>
      <c r="I166" s="64"/>
      <c r="J166" s="52"/>
      <c r="K166" s="52"/>
      <c r="L166" s="52"/>
      <c r="M166" s="52"/>
      <c r="N166" s="54"/>
      <c r="O166" s="66"/>
      <c r="P166" s="51"/>
      <c r="Q166" s="51"/>
      <c r="R166" s="51"/>
      <c r="S166" s="51"/>
      <c r="T166" s="55"/>
      <c r="U166" s="69"/>
      <c r="V166" s="50"/>
      <c r="W166" s="50"/>
      <c r="X166" s="50"/>
      <c r="Y166" s="50"/>
      <c r="Z166" s="50"/>
      <c r="AA166" s="50"/>
      <c r="AB166" s="50"/>
      <c r="AC166" s="50">
        <f>IF(COUNTIF($C$3:C166,C166)=1,1,IF(COUNTIF($E$3:E166,E166)=1,2,0))</f>
        <v>0</v>
      </c>
      <c r="AD166" s="50">
        <f>IF(ISNUMBER(SEARCH("-",Database[[#This Row],[KEYNOTE '#]])),LEFT(Database[[#This Row],[KEYNOTE '#]],FIND("-",Database[[#This Row],[KEYNOTE '#]])-1),Database[[#This Row],[KEYNOTE '#]])</f>
        <v>1403</v>
      </c>
      <c r="AE16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6" s="50" t="str">
        <f>IF(AND(ISNUMBER(SEARCH("-",Database[[#This Row],[KEYNOTE '#]]))=TRUE,ISNUMBER(--RIGHT(Database[[#This Row],[KEYNOTE '#]]))=FALSE),RIGHT(Database[[#This Row],[KEYNOTE '#]],1),"")</f>
        <v/>
      </c>
      <c r="AG166" s="50">
        <v>164</v>
      </c>
      <c r="AH166" s="50" t="str">
        <f>IF(COUNTIF(Database[[#This Row],[BASE]:[INT. OTHER]],"g"),"INTERIOR",IF(COUNTIF(Database[[#This Row],[ROOF]:[EXT. OTHER]],"n"),"EXTERIOR",Database[[#This Row],[DIVISION '#]]))</f>
        <v>ARCH NOTES</v>
      </c>
      <c r="AI166" s="50" t="str">
        <f>IF(OR(Database[[#This Row],[KEYTIER1]]="INTERIOR",Database[[#This Row],[KEYTIER1]]="EXTERIOR"),"",Database[[#This Row],[DIVISION NAME]])</f>
        <v>BY CATEGORY</v>
      </c>
      <c r="AJ166" s="50" t="str">
        <f>IF(Database[[#This Row],[KEYTIER1]]="INTERIOR","INT",IF(Database[[#This Row],[KEYTIER1]]="EXTERIOR","EXT",Database[[#This Row],[SECTION '#]]))</f>
        <v>STAIRS</v>
      </c>
      <c r="AK166" s="50" t="str">
        <f>IF(OR(Database[[#This Row],[KEYTIER2]]="INT",Database[[#This Row],[KEYTIER2]]="EXT"),"",IF(Database[[#This Row],[SECTION NAME]]="","",Database[[#This Row],[SECTION NAME]]))</f>
        <v/>
      </c>
    </row>
    <row r="167" spans="2:37" ht="43.5" x14ac:dyDescent="0.35">
      <c r="B167" s="50" t="s">
        <v>71</v>
      </c>
      <c r="C167" s="50" t="s">
        <v>72</v>
      </c>
      <c r="D167" s="50" t="s">
        <v>73</v>
      </c>
      <c r="E167" s="50" t="s">
        <v>153</v>
      </c>
      <c r="F167" s="53"/>
      <c r="G167" s="72">
        <v>1501</v>
      </c>
      <c r="H167" s="53"/>
      <c r="I167" s="64"/>
      <c r="J167" s="52"/>
      <c r="K167" s="52"/>
      <c r="L167" s="52"/>
      <c r="M167" s="52"/>
      <c r="N167" s="54"/>
      <c r="O167" s="66"/>
      <c r="P167" s="51"/>
      <c r="Q167" s="51"/>
      <c r="R167" s="51"/>
      <c r="S167" s="51"/>
      <c r="T167" s="55"/>
      <c r="U167" s="69"/>
      <c r="V167" s="50"/>
      <c r="W167" s="50"/>
      <c r="X167" s="50"/>
      <c r="Y167" s="50"/>
      <c r="Z167" s="50"/>
      <c r="AA167" s="50"/>
      <c r="AB167" s="50"/>
      <c r="AC167" s="50">
        <f>IF(COUNTIF($C$3:C167,C167)=1,1,IF(COUNTIF($E$3:E167,E167)=1,2,0))</f>
        <v>2</v>
      </c>
      <c r="AD167" s="50">
        <f>IF(ISNUMBER(SEARCH("-",Database[[#This Row],[KEYNOTE '#]])),LEFT(Database[[#This Row],[KEYNOTE '#]],FIND("-",Database[[#This Row],[KEYNOTE '#]])-1),Database[[#This Row],[KEYNOTE '#]])</f>
        <v>1501</v>
      </c>
      <c r="AE16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7" s="50" t="str">
        <f>IF(AND(ISNUMBER(SEARCH("-",Database[[#This Row],[KEYNOTE '#]]))=TRUE,ISNUMBER(--RIGHT(Database[[#This Row],[KEYNOTE '#]]))=FALSE),RIGHT(Database[[#This Row],[KEYNOTE '#]],1),"")</f>
        <v/>
      </c>
      <c r="AG167" s="50">
        <v>165</v>
      </c>
      <c r="AH167" s="50" t="str">
        <f>IF(COUNTIF(Database[[#This Row],[BASE]:[INT. OTHER]],"g"),"INTERIOR",IF(COUNTIF(Database[[#This Row],[ROOF]:[EXT. OTHER]],"n"),"EXTERIOR",Database[[#This Row],[DIVISION '#]]))</f>
        <v>ARCH NOTES</v>
      </c>
      <c r="AI167" s="50" t="str">
        <f>IF(OR(Database[[#This Row],[KEYTIER1]]="INTERIOR",Database[[#This Row],[KEYTIER1]]="EXTERIOR"),"",Database[[#This Row],[DIVISION NAME]])</f>
        <v>BY CATEGORY</v>
      </c>
      <c r="AJ167" s="50" t="str">
        <f>IF(Database[[#This Row],[KEYTIER1]]="INTERIOR","INT",IF(Database[[#This Row],[KEYTIER1]]="EXTERIOR","EXT",Database[[#This Row],[SECTION '#]]))</f>
        <v>TOILET ACCESSORIES</v>
      </c>
      <c r="AK167" s="50" t="str">
        <f>IF(OR(Database[[#This Row],[KEYTIER2]]="INT",Database[[#This Row],[KEYTIER2]]="EXT"),"",IF(Database[[#This Row],[SECTION NAME]]="","",Database[[#This Row],[SECTION NAME]]))</f>
        <v/>
      </c>
    </row>
    <row r="168" spans="2:37" ht="43.5" x14ac:dyDescent="0.35">
      <c r="B168" s="50" t="s">
        <v>71</v>
      </c>
      <c r="C168" s="50" t="s">
        <v>72</v>
      </c>
      <c r="D168" s="50" t="s">
        <v>73</v>
      </c>
      <c r="E168" s="50" t="s">
        <v>153</v>
      </c>
      <c r="F168" s="53"/>
      <c r="G168" s="72">
        <v>1502</v>
      </c>
      <c r="H168" s="53"/>
      <c r="I168" s="64"/>
      <c r="J168" s="52"/>
      <c r="K168" s="52"/>
      <c r="L168" s="52"/>
      <c r="M168" s="52"/>
      <c r="N168" s="54"/>
      <c r="O168" s="66"/>
      <c r="P168" s="51"/>
      <c r="Q168" s="51"/>
      <c r="R168" s="51"/>
      <c r="S168" s="51"/>
      <c r="T168" s="55"/>
      <c r="U168" s="69"/>
      <c r="V168" s="50"/>
      <c r="W168" s="50"/>
      <c r="X168" s="50"/>
      <c r="Y168" s="50"/>
      <c r="Z168" s="50"/>
      <c r="AA168" s="50"/>
      <c r="AB168" s="50"/>
      <c r="AC168" s="50">
        <f>IF(COUNTIF($C$3:C168,C168)=1,1,IF(COUNTIF($E$3:E168,E168)=1,2,0))</f>
        <v>0</v>
      </c>
      <c r="AD168" s="50">
        <f>IF(ISNUMBER(SEARCH("-",Database[[#This Row],[KEYNOTE '#]])),LEFT(Database[[#This Row],[KEYNOTE '#]],FIND("-",Database[[#This Row],[KEYNOTE '#]])-1),Database[[#This Row],[KEYNOTE '#]])</f>
        <v>1502</v>
      </c>
      <c r="AE16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8" s="50" t="str">
        <f>IF(AND(ISNUMBER(SEARCH("-",Database[[#This Row],[KEYNOTE '#]]))=TRUE,ISNUMBER(--RIGHT(Database[[#This Row],[KEYNOTE '#]]))=FALSE),RIGHT(Database[[#This Row],[KEYNOTE '#]],1),"")</f>
        <v/>
      </c>
      <c r="AG168" s="50">
        <v>166</v>
      </c>
      <c r="AH168" s="50" t="str">
        <f>IF(COUNTIF(Database[[#This Row],[BASE]:[INT. OTHER]],"g"),"INTERIOR",IF(COUNTIF(Database[[#This Row],[ROOF]:[EXT. OTHER]],"n"),"EXTERIOR",Database[[#This Row],[DIVISION '#]]))</f>
        <v>ARCH NOTES</v>
      </c>
      <c r="AI168" s="50" t="str">
        <f>IF(OR(Database[[#This Row],[KEYTIER1]]="INTERIOR",Database[[#This Row],[KEYTIER1]]="EXTERIOR"),"",Database[[#This Row],[DIVISION NAME]])</f>
        <v>BY CATEGORY</v>
      </c>
      <c r="AJ168" s="50" t="str">
        <f>IF(Database[[#This Row],[KEYTIER1]]="INTERIOR","INT",IF(Database[[#This Row],[KEYTIER1]]="EXTERIOR","EXT",Database[[#This Row],[SECTION '#]]))</f>
        <v>TOILET ACCESSORIES</v>
      </c>
      <c r="AK168" s="50" t="str">
        <f>IF(OR(Database[[#This Row],[KEYTIER2]]="INT",Database[[#This Row],[KEYTIER2]]="EXT"),"",IF(Database[[#This Row],[SECTION NAME]]="","",Database[[#This Row],[SECTION NAME]]))</f>
        <v/>
      </c>
    </row>
    <row r="169" spans="2:37" ht="43.5" x14ac:dyDescent="0.35">
      <c r="B169" s="50" t="s">
        <v>71</v>
      </c>
      <c r="C169" s="50" t="s">
        <v>72</v>
      </c>
      <c r="D169" s="50" t="s">
        <v>73</v>
      </c>
      <c r="E169" s="50" t="s">
        <v>153</v>
      </c>
      <c r="F169" s="53"/>
      <c r="G169" s="72">
        <v>1503</v>
      </c>
      <c r="H169" s="53"/>
      <c r="I169" s="64"/>
      <c r="J169" s="52"/>
      <c r="K169" s="52"/>
      <c r="L169" s="52"/>
      <c r="M169" s="52"/>
      <c r="N169" s="54"/>
      <c r="O169" s="66"/>
      <c r="P169" s="51"/>
      <c r="Q169" s="51"/>
      <c r="R169" s="51"/>
      <c r="S169" s="51"/>
      <c r="T169" s="55"/>
      <c r="U169" s="69"/>
      <c r="V169" s="50"/>
      <c r="W169" s="50"/>
      <c r="X169" s="50"/>
      <c r="Y169" s="50"/>
      <c r="Z169" s="50"/>
      <c r="AA169" s="50"/>
      <c r="AB169" s="50"/>
      <c r="AC169" s="50">
        <f>IF(COUNTIF($C$3:C169,C169)=1,1,IF(COUNTIF($E$3:E169,E169)=1,2,0))</f>
        <v>0</v>
      </c>
      <c r="AD169" s="50">
        <f>IF(ISNUMBER(SEARCH("-",Database[[#This Row],[KEYNOTE '#]])),LEFT(Database[[#This Row],[KEYNOTE '#]],FIND("-",Database[[#This Row],[KEYNOTE '#]])-1),Database[[#This Row],[KEYNOTE '#]])</f>
        <v>1503</v>
      </c>
      <c r="AE16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9" s="50" t="str">
        <f>IF(AND(ISNUMBER(SEARCH("-",Database[[#This Row],[KEYNOTE '#]]))=TRUE,ISNUMBER(--RIGHT(Database[[#This Row],[KEYNOTE '#]]))=FALSE),RIGHT(Database[[#This Row],[KEYNOTE '#]],1),"")</f>
        <v/>
      </c>
      <c r="AG169" s="50">
        <v>167</v>
      </c>
      <c r="AH169" s="50" t="str">
        <f>IF(COUNTIF(Database[[#This Row],[BASE]:[INT. OTHER]],"g"),"INTERIOR",IF(COUNTIF(Database[[#This Row],[ROOF]:[EXT. OTHER]],"n"),"EXTERIOR",Database[[#This Row],[DIVISION '#]]))</f>
        <v>ARCH NOTES</v>
      </c>
      <c r="AI169" s="50" t="str">
        <f>IF(OR(Database[[#This Row],[KEYTIER1]]="INTERIOR",Database[[#This Row],[KEYTIER1]]="EXTERIOR"),"",Database[[#This Row],[DIVISION NAME]])</f>
        <v>BY CATEGORY</v>
      </c>
      <c r="AJ169" s="50" t="str">
        <f>IF(Database[[#This Row],[KEYTIER1]]="INTERIOR","INT",IF(Database[[#This Row],[KEYTIER1]]="EXTERIOR","EXT",Database[[#This Row],[SECTION '#]]))</f>
        <v>TOILET ACCESSORIES</v>
      </c>
      <c r="AK169" s="50" t="str">
        <f>IF(OR(Database[[#This Row],[KEYTIER2]]="INT",Database[[#This Row],[KEYTIER2]]="EXT"),"",IF(Database[[#This Row],[SECTION NAME]]="","",Database[[#This Row],[SECTION NAME]]))</f>
        <v/>
      </c>
    </row>
    <row r="170" spans="2:37" ht="43.5" x14ac:dyDescent="0.35">
      <c r="B170" s="50" t="s">
        <v>71</v>
      </c>
      <c r="C170" s="50" t="s">
        <v>72</v>
      </c>
      <c r="D170" s="50" t="s">
        <v>73</v>
      </c>
      <c r="E170" s="50" t="s">
        <v>157</v>
      </c>
      <c r="F170" s="53"/>
      <c r="G170" s="72">
        <v>1601</v>
      </c>
      <c r="H170" s="53"/>
      <c r="I170" s="64"/>
      <c r="J170" s="52"/>
      <c r="K170" s="52"/>
      <c r="L170" s="52"/>
      <c r="M170" s="52"/>
      <c r="N170" s="54"/>
      <c r="O170" s="66"/>
      <c r="P170" s="51"/>
      <c r="Q170" s="51"/>
      <c r="R170" s="51"/>
      <c r="S170" s="51"/>
      <c r="T170" s="55"/>
      <c r="U170" s="69"/>
      <c r="V170" s="50"/>
      <c r="W170" s="50"/>
      <c r="X170" s="50"/>
      <c r="Y170" s="50"/>
      <c r="Z170" s="50"/>
      <c r="AA170" s="50"/>
      <c r="AB170" s="50"/>
      <c r="AC170" s="50">
        <f>IF(COUNTIF($C$3:C170,C170)=1,1,IF(COUNTIF($E$3:E170,E170)=1,2,0))</f>
        <v>2</v>
      </c>
      <c r="AD170" s="50">
        <f>IF(ISNUMBER(SEARCH("-",Database[[#This Row],[KEYNOTE '#]])),LEFT(Database[[#This Row],[KEYNOTE '#]],FIND("-",Database[[#This Row],[KEYNOTE '#]])-1),Database[[#This Row],[KEYNOTE '#]])</f>
        <v>1601</v>
      </c>
      <c r="AE17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0" s="50" t="str">
        <f>IF(AND(ISNUMBER(SEARCH("-",Database[[#This Row],[KEYNOTE '#]]))=TRUE,ISNUMBER(--RIGHT(Database[[#This Row],[KEYNOTE '#]]))=FALSE),RIGHT(Database[[#This Row],[KEYNOTE '#]],1),"")</f>
        <v/>
      </c>
      <c r="AG170" s="50">
        <v>168</v>
      </c>
      <c r="AH170" s="50" t="str">
        <f>IF(COUNTIF(Database[[#This Row],[BASE]:[INT. OTHER]],"g"),"INTERIOR",IF(COUNTIF(Database[[#This Row],[ROOF]:[EXT. OTHER]],"n"),"EXTERIOR",Database[[#This Row],[DIVISION '#]]))</f>
        <v>ARCH NOTES</v>
      </c>
      <c r="AI170" s="50" t="str">
        <f>IF(OR(Database[[#This Row],[KEYTIER1]]="INTERIOR",Database[[#This Row],[KEYTIER1]]="EXTERIOR"),"",Database[[#This Row],[DIVISION NAME]])</f>
        <v>BY CATEGORY</v>
      </c>
      <c r="AJ170" s="50" t="str">
        <f>IF(Database[[#This Row],[KEYTIER1]]="INTERIOR","INT",IF(Database[[#This Row],[KEYTIER1]]="EXTERIOR","EXT",Database[[#This Row],[SECTION '#]]))</f>
        <v>WALLS</v>
      </c>
      <c r="AK170" s="50" t="str">
        <f>IF(OR(Database[[#This Row],[KEYTIER2]]="INT",Database[[#This Row],[KEYTIER2]]="EXT"),"",IF(Database[[#This Row],[SECTION NAME]]="","",Database[[#This Row],[SECTION NAME]]))</f>
        <v/>
      </c>
    </row>
    <row r="171" spans="2:37" ht="43.5" x14ac:dyDescent="0.35">
      <c r="B171" s="50" t="s">
        <v>71</v>
      </c>
      <c r="C171" s="50" t="s">
        <v>72</v>
      </c>
      <c r="D171" s="50" t="s">
        <v>73</v>
      </c>
      <c r="E171" s="50" t="s">
        <v>157</v>
      </c>
      <c r="F171" s="53"/>
      <c r="G171" s="72">
        <v>1602</v>
      </c>
      <c r="H171" s="53"/>
      <c r="I171" s="64"/>
      <c r="J171" s="52"/>
      <c r="K171" s="52"/>
      <c r="L171" s="52"/>
      <c r="M171" s="52"/>
      <c r="N171" s="54"/>
      <c r="O171" s="66"/>
      <c r="P171" s="51"/>
      <c r="Q171" s="51"/>
      <c r="R171" s="51"/>
      <c r="S171" s="51"/>
      <c r="T171" s="55"/>
      <c r="U171" s="69"/>
      <c r="V171" s="50"/>
      <c r="W171" s="50"/>
      <c r="X171" s="50"/>
      <c r="Y171" s="50"/>
      <c r="Z171" s="50"/>
      <c r="AA171" s="50"/>
      <c r="AB171" s="50"/>
      <c r="AC171" s="50">
        <f>IF(COUNTIF($C$3:C171,C171)=1,1,IF(COUNTIF($E$3:E171,E171)=1,2,0))</f>
        <v>0</v>
      </c>
      <c r="AD171" s="50">
        <f>IF(ISNUMBER(SEARCH("-",Database[[#This Row],[KEYNOTE '#]])),LEFT(Database[[#This Row],[KEYNOTE '#]],FIND("-",Database[[#This Row],[KEYNOTE '#]])-1),Database[[#This Row],[KEYNOTE '#]])</f>
        <v>1602</v>
      </c>
      <c r="AE17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1" s="50" t="str">
        <f>IF(AND(ISNUMBER(SEARCH("-",Database[[#This Row],[KEYNOTE '#]]))=TRUE,ISNUMBER(--RIGHT(Database[[#This Row],[KEYNOTE '#]]))=FALSE),RIGHT(Database[[#This Row],[KEYNOTE '#]],1),"")</f>
        <v/>
      </c>
      <c r="AG171" s="50">
        <v>169</v>
      </c>
      <c r="AH171" s="50" t="str">
        <f>IF(COUNTIF(Database[[#This Row],[BASE]:[INT. OTHER]],"g"),"INTERIOR",IF(COUNTIF(Database[[#This Row],[ROOF]:[EXT. OTHER]],"n"),"EXTERIOR",Database[[#This Row],[DIVISION '#]]))</f>
        <v>ARCH NOTES</v>
      </c>
      <c r="AI171" s="50" t="str">
        <f>IF(OR(Database[[#This Row],[KEYTIER1]]="INTERIOR",Database[[#This Row],[KEYTIER1]]="EXTERIOR"),"",Database[[#This Row],[DIVISION NAME]])</f>
        <v>BY CATEGORY</v>
      </c>
      <c r="AJ171" s="50" t="str">
        <f>IF(Database[[#This Row],[KEYTIER1]]="INTERIOR","INT",IF(Database[[#This Row],[KEYTIER1]]="EXTERIOR","EXT",Database[[#This Row],[SECTION '#]]))</f>
        <v>WALLS</v>
      </c>
      <c r="AK171" s="50" t="str">
        <f>IF(OR(Database[[#This Row],[KEYTIER2]]="INT",Database[[#This Row],[KEYTIER2]]="EXT"),"",IF(Database[[#This Row],[SECTION NAME]]="","",Database[[#This Row],[SECTION NAME]]))</f>
        <v/>
      </c>
    </row>
    <row r="172" spans="2:37" ht="43.5" x14ac:dyDescent="0.35">
      <c r="B172" s="50" t="s">
        <v>71</v>
      </c>
      <c r="C172" s="50" t="s">
        <v>72</v>
      </c>
      <c r="D172" s="50" t="s">
        <v>73</v>
      </c>
      <c r="E172" s="50" t="s">
        <v>157</v>
      </c>
      <c r="F172" s="53"/>
      <c r="G172" s="72">
        <v>1603</v>
      </c>
      <c r="H172" s="53"/>
      <c r="I172" s="64"/>
      <c r="J172" s="52"/>
      <c r="K172" s="52"/>
      <c r="L172" s="52"/>
      <c r="M172" s="52"/>
      <c r="N172" s="54"/>
      <c r="O172" s="66"/>
      <c r="P172" s="51"/>
      <c r="Q172" s="51"/>
      <c r="R172" s="51"/>
      <c r="S172" s="51"/>
      <c r="T172" s="55"/>
      <c r="U172" s="69"/>
      <c r="V172" s="50"/>
      <c r="W172" s="50"/>
      <c r="X172" s="50"/>
      <c r="Y172" s="50"/>
      <c r="Z172" s="50"/>
      <c r="AA172" s="50"/>
      <c r="AB172" s="50"/>
      <c r="AC172" s="50">
        <f>IF(COUNTIF($C$3:C172,C172)=1,1,IF(COUNTIF($E$3:E172,E172)=1,2,0))</f>
        <v>0</v>
      </c>
      <c r="AD172" s="50">
        <f>IF(ISNUMBER(SEARCH("-",Database[[#This Row],[KEYNOTE '#]])),LEFT(Database[[#This Row],[KEYNOTE '#]],FIND("-",Database[[#This Row],[KEYNOTE '#]])-1),Database[[#This Row],[KEYNOTE '#]])</f>
        <v>1603</v>
      </c>
      <c r="AE17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2" s="50" t="str">
        <f>IF(AND(ISNUMBER(SEARCH("-",Database[[#This Row],[KEYNOTE '#]]))=TRUE,ISNUMBER(--RIGHT(Database[[#This Row],[KEYNOTE '#]]))=FALSE),RIGHT(Database[[#This Row],[KEYNOTE '#]],1),"")</f>
        <v/>
      </c>
      <c r="AG172" s="50">
        <v>170</v>
      </c>
      <c r="AH172" s="50" t="str">
        <f>IF(COUNTIF(Database[[#This Row],[BASE]:[INT. OTHER]],"g"),"INTERIOR",IF(COUNTIF(Database[[#This Row],[ROOF]:[EXT. OTHER]],"n"),"EXTERIOR",Database[[#This Row],[DIVISION '#]]))</f>
        <v>ARCH NOTES</v>
      </c>
      <c r="AI172" s="50" t="str">
        <f>IF(OR(Database[[#This Row],[KEYTIER1]]="INTERIOR",Database[[#This Row],[KEYTIER1]]="EXTERIOR"),"",Database[[#This Row],[DIVISION NAME]])</f>
        <v>BY CATEGORY</v>
      </c>
      <c r="AJ172" s="50" t="str">
        <f>IF(Database[[#This Row],[KEYTIER1]]="INTERIOR","INT",IF(Database[[#This Row],[KEYTIER1]]="EXTERIOR","EXT",Database[[#This Row],[SECTION '#]]))</f>
        <v>WALLS</v>
      </c>
      <c r="AK172" s="50" t="str">
        <f>IF(OR(Database[[#This Row],[KEYTIER2]]="INT",Database[[#This Row],[KEYTIER2]]="EXT"),"",IF(Database[[#This Row],[SECTION NAME]]="","",Database[[#This Row],[SECTION NAME]]))</f>
        <v/>
      </c>
    </row>
    <row r="173" spans="2:37" ht="43.5" x14ac:dyDescent="0.35">
      <c r="B173" s="50" t="s">
        <v>71</v>
      </c>
      <c r="C173" s="50" t="s">
        <v>72</v>
      </c>
      <c r="D173" s="50" t="s">
        <v>73</v>
      </c>
      <c r="E173" s="50" t="s">
        <v>161</v>
      </c>
      <c r="F173" s="53"/>
      <c r="G173" s="72">
        <v>1701</v>
      </c>
      <c r="H173" s="53"/>
      <c r="I173" s="64"/>
      <c r="J173" s="52"/>
      <c r="K173" s="52"/>
      <c r="L173" s="52"/>
      <c r="M173" s="52"/>
      <c r="N173" s="54"/>
      <c r="O173" s="66"/>
      <c r="P173" s="51"/>
      <c r="Q173" s="51"/>
      <c r="R173" s="51"/>
      <c r="S173" s="51"/>
      <c r="T173" s="55"/>
      <c r="U173" s="69"/>
      <c r="V173" s="50"/>
      <c r="W173" s="50"/>
      <c r="X173" s="50"/>
      <c r="Y173" s="50"/>
      <c r="Z173" s="50"/>
      <c r="AA173" s="50"/>
      <c r="AB173" s="50"/>
      <c r="AC173" s="50">
        <f>IF(COUNTIF($C$3:C173,C173)=1,1,IF(COUNTIF($E$3:E173,E173)=1,2,0))</f>
        <v>2</v>
      </c>
      <c r="AD173" s="50">
        <f>IF(ISNUMBER(SEARCH("-",Database[[#This Row],[KEYNOTE '#]])),LEFT(Database[[#This Row],[KEYNOTE '#]],FIND("-",Database[[#This Row],[KEYNOTE '#]])-1),Database[[#This Row],[KEYNOTE '#]])</f>
        <v>1701</v>
      </c>
      <c r="AE17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3" s="50" t="str">
        <f>IF(AND(ISNUMBER(SEARCH("-",Database[[#This Row],[KEYNOTE '#]]))=TRUE,ISNUMBER(--RIGHT(Database[[#This Row],[KEYNOTE '#]]))=FALSE),RIGHT(Database[[#This Row],[KEYNOTE '#]],1),"")</f>
        <v/>
      </c>
      <c r="AG173" s="50">
        <v>171</v>
      </c>
      <c r="AH173" s="50" t="str">
        <f>IF(COUNTIF(Database[[#This Row],[BASE]:[INT. OTHER]],"g"),"INTERIOR",IF(COUNTIF(Database[[#This Row],[ROOF]:[EXT. OTHER]],"n"),"EXTERIOR",Database[[#This Row],[DIVISION '#]]))</f>
        <v>ARCH NOTES</v>
      </c>
      <c r="AI173" s="50" t="str">
        <f>IF(OR(Database[[#This Row],[KEYTIER1]]="INTERIOR",Database[[#This Row],[KEYTIER1]]="EXTERIOR"),"",Database[[#This Row],[DIVISION NAME]])</f>
        <v>BY CATEGORY</v>
      </c>
      <c r="AJ173" s="50" t="str">
        <f>IF(Database[[#This Row],[KEYTIER1]]="INTERIOR","INT",IF(Database[[#This Row],[KEYTIER1]]="EXTERIOR","EXT",Database[[#This Row],[SECTION '#]]))</f>
        <v>WINDOWS</v>
      </c>
      <c r="AK173" s="50" t="str">
        <f>IF(OR(Database[[#This Row],[KEYTIER2]]="INT",Database[[#This Row],[KEYTIER2]]="EXT"),"",IF(Database[[#This Row],[SECTION NAME]]="","",Database[[#This Row],[SECTION NAME]]))</f>
        <v/>
      </c>
    </row>
    <row r="174" spans="2:37" ht="43.5" x14ac:dyDescent="0.35">
      <c r="B174" s="50" t="s">
        <v>71</v>
      </c>
      <c r="C174" s="50" t="s">
        <v>72</v>
      </c>
      <c r="D174" s="50" t="s">
        <v>73</v>
      </c>
      <c r="E174" s="50" t="s">
        <v>161</v>
      </c>
      <c r="F174" s="53"/>
      <c r="G174" s="72">
        <v>1702</v>
      </c>
      <c r="H174" s="53"/>
      <c r="I174" s="64"/>
      <c r="J174" s="52"/>
      <c r="K174" s="52"/>
      <c r="L174" s="52"/>
      <c r="M174" s="52"/>
      <c r="N174" s="54"/>
      <c r="O174" s="66"/>
      <c r="P174" s="51"/>
      <c r="Q174" s="51"/>
      <c r="R174" s="51"/>
      <c r="S174" s="51"/>
      <c r="T174" s="55"/>
      <c r="U174" s="69"/>
      <c r="V174" s="50"/>
      <c r="W174" s="50"/>
      <c r="X174" s="50"/>
      <c r="Y174" s="50"/>
      <c r="Z174" s="50"/>
      <c r="AA174" s="50"/>
      <c r="AB174" s="50"/>
      <c r="AC174" s="50">
        <f>IF(COUNTIF($C$3:C174,C174)=1,1,IF(COUNTIF($E$3:E174,E174)=1,2,0))</f>
        <v>0</v>
      </c>
      <c r="AD174" s="50">
        <f>IF(ISNUMBER(SEARCH("-",Database[[#This Row],[KEYNOTE '#]])),LEFT(Database[[#This Row],[KEYNOTE '#]],FIND("-",Database[[#This Row],[KEYNOTE '#]])-1),Database[[#This Row],[KEYNOTE '#]])</f>
        <v>1702</v>
      </c>
      <c r="AE17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4" s="50" t="str">
        <f>IF(AND(ISNUMBER(SEARCH("-",Database[[#This Row],[KEYNOTE '#]]))=TRUE,ISNUMBER(--RIGHT(Database[[#This Row],[KEYNOTE '#]]))=FALSE),RIGHT(Database[[#This Row],[KEYNOTE '#]],1),"")</f>
        <v/>
      </c>
      <c r="AG174" s="50">
        <v>172</v>
      </c>
      <c r="AH174" s="50" t="str">
        <f>IF(COUNTIF(Database[[#This Row],[BASE]:[INT. OTHER]],"g"),"INTERIOR",IF(COUNTIF(Database[[#This Row],[ROOF]:[EXT. OTHER]],"n"),"EXTERIOR",Database[[#This Row],[DIVISION '#]]))</f>
        <v>ARCH NOTES</v>
      </c>
      <c r="AI174" s="50" t="str">
        <f>IF(OR(Database[[#This Row],[KEYTIER1]]="INTERIOR",Database[[#This Row],[KEYTIER1]]="EXTERIOR"),"",Database[[#This Row],[DIVISION NAME]])</f>
        <v>BY CATEGORY</v>
      </c>
      <c r="AJ174" s="50" t="str">
        <f>IF(Database[[#This Row],[KEYTIER1]]="INTERIOR","INT",IF(Database[[#This Row],[KEYTIER1]]="EXTERIOR","EXT",Database[[#This Row],[SECTION '#]]))</f>
        <v>WINDOWS</v>
      </c>
      <c r="AK174" s="50" t="str">
        <f>IF(OR(Database[[#This Row],[KEYTIER2]]="INT",Database[[#This Row],[KEYTIER2]]="EXT"),"",IF(Database[[#This Row],[SECTION NAME]]="","",Database[[#This Row],[SECTION NAME]]))</f>
        <v/>
      </c>
    </row>
    <row r="175" spans="2:37" ht="43.5" x14ac:dyDescent="0.35">
      <c r="B175" s="50" t="s">
        <v>71</v>
      </c>
      <c r="C175" s="50" t="s">
        <v>72</v>
      </c>
      <c r="D175" s="50" t="s">
        <v>73</v>
      </c>
      <c r="E175" s="50" t="s">
        <v>161</v>
      </c>
      <c r="F175" s="53"/>
      <c r="G175" s="72">
        <v>1703</v>
      </c>
      <c r="H175" s="53"/>
      <c r="I175" s="64"/>
      <c r="J175" s="52"/>
      <c r="K175" s="52"/>
      <c r="L175" s="52"/>
      <c r="M175" s="52"/>
      <c r="N175" s="54"/>
      <c r="O175" s="66"/>
      <c r="P175" s="51"/>
      <c r="Q175" s="51"/>
      <c r="R175" s="51"/>
      <c r="S175" s="51"/>
      <c r="T175" s="55"/>
      <c r="U175" s="69"/>
      <c r="V175" s="50"/>
      <c r="W175" s="50"/>
      <c r="X175" s="50"/>
      <c r="Y175" s="50"/>
      <c r="Z175" s="50"/>
      <c r="AA175" s="50"/>
      <c r="AB175" s="50"/>
      <c r="AC175" s="50">
        <f>IF(COUNTIF($C$3:C175,C175)=1,1,IF(COUNTIF($E$3:E175,E175)=1,2,0))</f>
        <v>0</v>
      </c>
      <c r="AD175" s="50">
        <f>IF(ISNUMBER(SEARCH("-",Database[[#This Row],[KEYNOTE '#]])),LEFT(Database[[#This Row],[KEYNOTE '#]],FIND("-",Database[[#This Row],[KEYNOTE '#]])-1),Database[[#This Row],[KEYNOTE '#]])</f>
        <v>1703</v>
      </c>
      <c r="AE17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5" s="50" t="str">
        <f>IF(AND(ISNUMBER(SEARCH("-",Database[[#This Row],[KEYNOTE '#]]))=TRUE,ISNUMBER(--RIGHT(Database[[#This Row],[KEYNOTE '#]]))=FALSE),RIGHT(Database[[#This Row],[KEYNOTE '#]],1),"")</f>
        <v/>
      </c>
      <c r="AG175" s="50">
        <v>173</v>
      </c>
      <c r="AH175" s="50" t="str">
        <f>IF(COUNTIF(Database[[#This Row],[BASE]:[INT. OTHER]],"g"),"INTERIOR",IF(COUNTIF(Database[[#This Row],[ROOF]:[EXT. OTHER]],"n"),"EXTERIOR",Database[[#This Row],[DIVISION '#]]))</f>
        <v>ARCH NOTES</v>
      </c>
      <c r="AI175" s="50" t="str">
        <f>IF(OR(Database[[#This Row],[KEYTIER1]]="INTERIOR",Database[[#This Row],[KEYTIER1]]="EXTERIOR"),"",Database[[#This Row],[DIVISION NAME]])</f>
        <v>BY CATEGORY</v>
      </c>
      <c r="AJ175" s="50" t="str">
        <f>IF(Database[[#This Row],[KEYTIER1]]="INTERIOR","INT",IF(Database[[#This Row],[KEYTIER1]]="EXTERIOR","EXT",Database[[#This Row],[SECTION '#]]))</f>
        <v>WINDOWS</v>
      </c>
      <c r="AK175" s="50" t="str">
        <f>IF(OR(Database[[#This Row],[KEYTIER2]]="INT",Database[[#This Row],[KEYTIER2]]="EXT"),"",IF(Database[[#This Row],[SECTION NAME]]="","",Database[[#This Row],[SECTION NAME]]))</f>
        <v/>
      </c>
    </row>
    <row r="176" spans="2:37" ht="43.5" x14ac:dyDescent="0.35">
      <c r="B176" s="50" t="s">
        <v>71</v>
      </c>
      <c r="C176" s="50" t="s">
        <v>165</v>
      </c>
      <c r="D176" s="50" t="s">
        <v>73</v>
      </c>
      <c r="E176" s="50" t="s">
        <v>166</v>
      </c>
      <c r="F176" s="53"/>
      <c r="G176" s="72">
        <v>5101</v>
      </c>
      <c r="H176" s="53"/>
      <c r="I176" s="64"/>
      <c r="J176" s="52"/>
      <c r="K176" s="52"/>
      <c r="L176" s="52"/>
      <c r="M176" s="52"/>
      <c r="N176" s="54"/>
      <c r="O176" s="66"/>
      <c r="P176" s="51"/>
      <c r="Q176" s="51"/>
      <c r="R176" s="51"/>
      <c r="S176" s="51"/>
      <c r="T176" s="55"/>
      <c r="U176" s="69"/>
      <c r="V176" s="50"/>
      <c r="W176" s="50"/>
      <c r="X176" s="50"/>
      <c r="Y176" s="50"/>
      <c r="Z176" s="50"/>
      <c r="AA176" s="50"/>
      <c r="AB176" s="50"/>
      <c r="AC176" s="50">
        <f>IF(COUNTIF($C$3:C176,C176)=1,1,IF(COUNTIF($E$3:E176,E176)=1,2,0))</f>
        <v>1</v>
      </c>
      <c r="AD176" s="50">
        <f>IF(ISNUMBER(SEARCH("-",Database[[#This Row],[KEYNOTE '#]])),LEFT(Database[[#This Row],[KEYNOTE '#]],FIND("-",Database[[#This Row],[KEYNOTE '#]])-1),Database[[#This Row],[KEYNOTE '#]])</f>
        <v>5101</v>
      </c>
      <c r="AE17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6" s="50" t="str">
        <f>IF(AND(ISNUMBER(SEARCH("-",Database[[#This Row],[KEYNOTE '#]]))=TRUE,ISNUMBER(--RIGHT(Database[[#This Row],[KEYNOTE '#]]))=FALSE),RIGHT(Database[[#This Row],[KEYNOTE '#]],1),"")</f>
        <v/>
      </c>
      <c r="AG176" s="50">
        <v>174</v>
      </c>
      <c r="AH176" s="50" t="str">
        <f>IF(COUNTIF(Database[[#This Row],[BASE]:[INT. OTHER]],"g"),"INTERIOR",IF(COUNTIF(Database[[#This Row],[ROOF]:[EXT. OTHER]],"n"),"EXTERIOR",Database[[#This Row],[DIVISION '#]]))</f>
        <v>SYSTEM NOTES</v>
      </c>
      <c r="AI176" s="50" t="str">
        <f>IF(OR(Database[[#This Row],[KEYTIER1]]="INTERIOR",Database[[#This Row],[KEYTIER1]]="EXTERIOR"),"",Database[[#This Row],[DIVISION NAME]])</f>
        <v>BY CATEGORY</v>
      </c>
      <c r="AJ176" s="50" t="str">
        <f>IF(Database[[#This Row],[KEYTIER1]]="INTERIOR","INT",IF(Database[[#This Row],[KEYTIER1]]="EXTERIOR","EXT",Database[[#This Row],[SECTION '#]]))</f>
        <v>AV</v>
      </c>
      <c r="AK176" s="50" t="str">
        <f>IF(OR(Database[[#This Row],[KEYTIER2]]="INT",Database[[#This Row],[KEYTIER2]]="EXT"),"",IF(Database[[#This Row],[SECTION NAME]]="","",Database[[#This Row],[SECTION NAME]]))</f>
        <v/>
      </c>
    </row>
    <row r="177" spans="2:37" ht="43.5" x14ac:dyDescent="0.35">
      <c r="B177" s="50" t="s">
        <v>71</v>
      </c>
      <c r="C177" s="50" t="s">
        <v>165</v>
      </c>
      <c r="D177" s="50" t="s">
        <v>73</v>
      </c>
      <c r="E177" s="50" t="s">
        <v>166</v>
      </c>
      <c r="F177" s="53"/>
      <c r="G177" s="72">
        <v>5102</v>
      </c>
      <c r="H177" s="53"/>
      <c r="I177" s="64"/>
      <c r="J177" s="52"/>
      <c r="K177" s="52"/>
      <c r="L177" s="52"/>
      <c r="M177" s="52"/>
      <c r="N177" s="54"/>
      <c r="O177" s="66"/>
      <c r="P177" s="51"/>
      <c r="Q177" s="51"/>
      <c r="R177" s="51"/>
      <c r="S177" s="51"/>
      <c r="T177" s="55"/>
      <c r="U177" s="69"/>
      <c r="V177" s="50"/>
      <c r="W177" s="50"/>
      <c r="X177" s="50"/>
      <c r="Y177" s="50"/>
      <c r="Z177" s="50"/>
      <c r="AA177" s="50"/>
      <c r="AB177" s="50"/>
      <c r="AC177" s="50">
        <f>IF(COUNTIF($C$3:C177,C177)=1,1,IF(COUNTIF($E$3:E177,E177)=1,2,0))</f>
        <v>0</v>
      </c>
      <c r="AD177" s="50">
        <f>IF(ISNUMBER(SEARCH("-",Database[[#This Row],[KEYNOTE '#]])),LEFT(Database[[#This Row],[KEYNOTE '#]],FIND("-",Database[[#This Row],[KEYNOTE '#]])-1),Database[[#This Row],[KEYNOTE '#]])</f>
        <v>5102</v>
      </c>
      <c r="AE17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7" s="50" t="str">
        <f>IF(AND(ISNUMBER(SEARCH("-",Database[[#This Row],[KEYNOTE '#]]))=TRUE,ISNUMBER(--RIGHT(Database[[#This Row],[KEYNOTE '#]]))=FALSE),RIGHT(Database[[#This Row],[KEYNOTE '#]],1),"")</f>
        <v/>
      </c>
      <c r="AG177" s="50">
        <v>175</v>
      </c>
      <c r="AH177" s="50" t="str">
        <f>IF(COUNTIF(Database[[#This Row],[BASE]:[INT. OTHER]],"g"),"INTERIOR",IF(COUNTIF(Database[[#This Row],[ROOF]:[EXT. OTHER]],"n"),"EXTERIOR",Database[[#This Row],[DIVISION '#]]))</f>
        <v>SYSTEM NOTES</v>
      </c>
      <c r="AI177" s="50" t="str">
        <f>IF(OR(Database[[#This Row],[KEYTIER1]]="INTERIOR",Database[[#This Row],[KEYTIER1]]="EXTERIOR"),"",Database[[#This Row],[DIVISION NAME]])</f>
        <v>BY CATEGORY</v>
      </c>
      <c r="AJ177" s="50" t="str">
        <f>IF(Database[[#This Row],[KEYTIER1]]="INTERIOR","INT",IF(Database[[#This Row],[KEYTIER1]]="EXTERIOR","EXT",Database[[#This Row],[SECTION '#]]))</f>
        <v>AV</v>
      </c>
      <c r="AK177" s="50" t="str">
        <f>IF(OR(Database[[#This Row],[KEYTIER2]]="INT",Database[[#This Row],[KEYTIER2]]="EXT"),"",IF(Database[[#This Row],[SECTION NAME]]="","",Database[[#This Row],[SECTION NAME]]))</f>
        <v/>
      </c>
    </row>
    <row r="178" spans="2:37" ht="43.5" x14ac:dyDescent="0.35">
      <c r="B178" s="50" t="s">
        <v>71</v>
      </c>
      <c r="C178" s="50" t="s">
        <v>165</v>
      </c>
      <c r="D178" s="50" t="s">
        <v>73</v>
      </c>
      <c r="E178" s="50" t="s">
        <v>166</v>
      </c>
      <c r="F178" s="53"/>
      <c r="G178" s="72">
        <v>5103</v>
      </c>
      <c r="H178" s="53"/>
      <c r="I178" s="64"/>
      <c r="J178" s="52"/>
      <c r="K178" s="52"/>
      <c r="L178" s="52"/>
      <c r="M178" s="52"/>
      <c r="N178" s="54"/>
      <c r="O178" s="66"/>
      <c r="P178" s="51"/>
      <c r="Q178" s="51"/>
      <c r="R178" s="51"/>
      <c r="S178" s="51"/>
      <c r="T178" s="55"/>
      <c r="U178" s="69"/>
      <c r="V178" s="50"/>
      <c r="W178" s="50"/>
      <c r="X178" s="50"/>
      <c r="Y178" s="50"/>
      <c r="Z178" s="50"/>
      <c r="AA178" s="50"/>
      <c r="AB178" s="50"/>
      <c r="AC178" s="50">
        <f>IF(COUNTIF($C$3:C178,C178)=1,1,IF(COUNTIF($E$3:E178,E178)=1,2,0))</f>
        <v>0</v>
      </c>
      <c r="AD178" s="50">
        <f>IF(ISNUMBER(SEARCH("-",Database[[#This Row],[KEYNOTE '#]])),LEFT(Database[[#This Row],[KEYNOTE '#]],FIND("-",Database[[#This Row],[KEYNOTE '#]])-1),Database[[#This Row],[KEYNOTE '#]])</f>
        <v>5103</v>
      </c>
      <c r="AE17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8" s="50" t="str">
        <f>IF(AND(ISNUMBER(SEARCH("-",Database[[#This Row],[KEYNOTE '#]]))=TRUE,ISNUMBER(--RIGHT(Database[[#This Row],[KEYNOTE '#]]))=FALSE),RIGHT(Database[[#This Row],[KEYNOTE '#]],1),"")</f>
        <v/>
      </c>
      <c r="AG178" s="50">
        <v>176</v>
      </c>
      <c r="AH178" s="50" t="str">
        <f>IF(COUNTIF(Database[[#This Row],[BASE]:[INT. OTHER]],"g"),"INTERIOR",IF(COUNTIF(Database[[#This Row],[ROOF]:[EXT. OTHER]],"n"),"EXTERIOR",Database[[#This Row],[DIVISION '#]]))</f>
        <v>SYSTEM NOTES</v>
      </c>
      <c r="AI178" s="50" t="str">
        <f>IF(OR(Database[[#This Row],[KEYTIER1]]="INTERIOR",Database[[#This Row],[KEYTIER1]]="EXTERIOR"),"",Database[[#This Row],[DIVISION NAME]])</f>
        <v>BY CATEGORY</v>
      </c>
      <c r="AJ178" s="50" t="str">
        <f>IF(Database[[#This Row],[KEYTIER1]]="INTERIOR","INT",IF(Database[[#This Row],[KEYTIER1]]="EXTERIOR","EXT",Database[[#This Row],[SECTION '#]]))</f>
        <v>AV</v>
      </c>
      <c r="AK178" s="50" t="str">
        <f>IF(OR(Database[[#This Row],[KEYTIER2]]="INT",Database[[#This Row],[KEYTIER2]]="EXT"),"",IF(Database[[#This Row],[SECTION NAME]]="","",Database[[#This Row],[SECTION NAME]]))</f>
        <v/>
      </c>
    </row>
    <row r="179" spans="2:37" ht="43.5" x14ac:dyDescent="0.35">
      <c r="B179" s="50" t="s">
        <v>71</v>
      </c>
      <c r="C179" s="50" t="s">
        <v>165</v>
      </c>
      <c r="D179" s="50" t="s">
        <v>73</v>
      </c>
      <c r="E179" s="50" t="s">
        <v>170</v>
      </c>
      <c r="F179" s="53"/>
      <c r="G179" s="72">
        <v>5201</v>
      </c>
      <c r="H179" s="53"/>
      <c r="I179" s="64"/>
      <c r="J179" s="52"/>
      <c r="K179" s="52"/>
      <c r="L179" s="52"/>
      <c r="M179" s="52"/>
      <c r="N179" s="54"/>
      <c r="O179" s="66"/>
      <c r="P179" s="51"/>
      <c r="Q179" s="51"/>
      <c r="R179" s="51"/>
      <c r="S179" s="51"/>
      <c r="T179" s="55"/>
      <c r="U179" s="69"/>
      <c r="V179" s="50"/>
      <c r="W179" s="50"/>
      <c r="X179" s="50"/>
      <c r="Y179" s="50"/>
      <c r="Z179" s="50"/>
      <c r="AA179" s="50"/>
      <c r="AB179" s="50"/>
      <c r="AC179" s="50">
        <f>IF(COUNTIF($C$3:C179,C179)=1,1,IF(COUNTIF($E$3:E179,E179)=1,2,0))</f>
        <v>2</v>
      </c>
      <c r="AD179" s="50">
        <f>IF(ISNUMBER(SEARCH("-",Database[[#This Row],[KEYNOTE '#]])),LEFT(Database[[#This Row],[KEYNOTE '#]],FIND("-",Database[[#This Row],[KEYNOTE '#]])-1),Database[[#This Row],[KEYNOTE '#]])</f>
        <v>5201</v>
      </c>
      <c r="AE17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9" s="50" t="str">
        <f>IF(AND(ISNUMBER(SEARCH("-",Database[[#This Row],[KEYNOTE '#]]))=TRUE,ISNUMBER(--RIGHT(Database[[#This Row],[KEYNOTE '#]]))=FALSE),RIGHT(Database[[#This Row],[KEYNOTE '#]],1),"")</f>
        <v/>
      </c>
      <c r="AG179" s="50">
        <v>177</v>
      </c>
      <c r="AH179" s="50" t="str">
        <f>IF(COUNTIF(Database[[#This Row],[BASE]:[INT. OTHER]],"g"),"INTERIOR",IF(COUNTIF(Database[[#This Row],[ROOF]:[EXT. OTHER]],"n"),"EXTERIOR",Database[[#This Row],[DIVISION '#]]))</f>
        <v>SYSTEM NOTES</v>
      </c>
      <c r="AI179" s="50" t="str">
        <f>IF(OR(Database[[#This Row],[KEYTIER1]]="INTERIOR",Database[[#This Row],[KEYTIER1]]="EXTERIOR"),"",Database[[#This Row],[DIVISION NAME]])</f>
        <v>BY CATEGORY</v>
      </c>
      <c r="AJ179" s="50" t="str">
        <f>IF(Database[[#This Row],[KEYTIER1]]="INTERIOR","INT",IF(Database[[#This Row],[KEYTIER1]]="EXTERIOR","EXT",Database[[#This Row],[SECTION '#]]))</f>
        <v>COMM</v>
      </c>
      <c r="AK179" s="50" t="str">
        <f>IF(OR(Database[[#This Row],[KEYTIER2]]="INT",Database[[#This Row],[KEYTIER2]]="EXT"),"",IF(Database[[#This Row],[SECTION NAME]]="","",Database[[#This Row],[SECTION NAME]]))</f>
        <v/>
      </c>
    </row>
    <row r="180" spans="2:37" ht="43.5" x14ac:dyDescent="0.35">
      <c r="B180" s="50" t="s">
        <v>71</v>
      </c>
      <c r="C180" s="50" t="s">
        <v>165</v>
      </c>
      <c r="D180" s="50" t="s">
        <v>73</v>
      </c>
      <c r="E180" s="50" t="s">
        <v>170</v>
      </c>
      <c r="F180" s="53"/>
      <c r="G180" s="72">
        <v>5202</v>
      </c>
      <c r="H180" s="53"/>
      <c r="I180" s="64"/>
      <c r="J180" s="52"/>
      <c r="K180" s="52"/>
      <c r="L180" s="52"/>
      <c r="M180" s="52"/>
      <c r="N180" s="54"/>
      <c r="O180" s="66"/>
      <c r="P180" s="51"/>
      <c r="Q180" s="51"/>
      <c r="R180" s="51"/>
      <c r="S180" s="51"/>
      <c r="T180" s="55"/>
      <c r="U180" s="69"/>
      <c r="V180" s="50"/>
      <c r="W180" s="50"/>
      <c r="X180" s="50"/>
      <c r="Y180" s="50"/>
      <c r="Z180" s="50"/>
      <c r="AA180" s="50"/>
      <c r="AB180" s="50"/>
      <c r="AC180" s="50">
        <f>IF(COUNTIF($C$3:C180,C180)=1,1,IF(COUNTIF($E$3:E180,E180)=1,2,0))</f>
        <v>0</v>
      </c>
      <c r="AD180" s="50">
        <f>IF(ISNUMBER(SEARCH("-",Database[[#This Row],[KEYNOTE '#]])),LEFT(Database[[#This Row],[KEYNOTE '#]],FIND("-",Database[[#This Row],[KEYNOTE '#]])-1),Database[[#This Row],[KEYNOTE '#]])</f>
        <v>5202</v>
      </c>
      <c r="AE18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0" s="50" t="str">
        <f>IF(AND(ISNUMBER(SEARCH("-",Database[[#This Row],[KEYNOTE '#]]))=TRUE,ISNUMBER(--RIGHT(Database[[#This Row],[KEYNOTE '#]]))=FALSE),RIGHT(Database[[#This Row],[KEYNOTE '#]],1),"")</f>
        <v/>
      </c>
      <c r="AG180" s="50">
        <v>178</v>
      </c>
      <c r="AH180" s="50" t="str">
        <f>IF(COUNTIF(Database[[#This Row],[BASE]:[INT. OTHER]],"g"),"INTERIOR",IF(COUNTIF(Database[[#This Row],[ROOF]:[EXT. OTHER]],"n"),"EXTERIOR",Database[[#This Row],[DIVISION '#]]))</f>
        <v>SYSTEM NOTES</v>
      </c>
      <c r="AI180" s="50" t="str">
        <f>IF(OR(Database[[#This Row],[KEYTIER1]]="INTERIOR",Database[[#This Row],[KEYTIER1]]="EXTERIOR"),"",Database[[#This Row],[DIVISION NAME]])</f>
        <v>BY CATEGORY</v>
      </c>
      <c r="AJ180" s="50" t="str">
        <f>IF(Database[[#This Row],[KEYTIER1]]="INTERIOR","INT",IF(Database[[#This Row],[KEYTIER1]]="EXTERIOR","EXT",Database[[#This Row],[SECTION '#]]))</f>
        <v>COMM</v>
      </c>
      <c r="AK180" s="50" t="str">
        <f>IF(OR(Database[[#This Row],[KEYTIER2]]="INT",Database[[#This Row],[KEYTIER2]]="EXT"),"",IF(Database[[#This Row],[SECTION NAME]]="","",Database[[#This Row],[SECTION NAME]]))</f>
        <v/>
      </c>
    </row>
    <row r="181" spans="2:37" ht="43.5" x14ac:dyDescent="0.35">
      <c r="B181" s="50" t="s">
        <v>71</v>
      </c>
      <c r="C181" s="50" t="s">
        <v>165</v>
      </c>
      <c r="D181" s="50" t="s">
        <v>73</v>
      </c>
      <c r="E181" s="50" t="s">
        <v>170</v>
      </c>
      <c r="F181" s="53"/>
      <c r="G181" s="72">
        <v>5203</v>
      </c>
      <c r="H181" s="53"/>
      <c r="I181" s="64"/>
      <c r="J181" s="52"/>
      <c r="K181" s="52"/>
      <c r="L181" s="52"/>
      <c r="M181" s="52"/>
      <c r="N181" s="54"/>
      <c r="O181" s="66"/>
      <c r="P181" s="51"/>
      <c r="Q181" s="51"/>
      <c r="R181" s="51"/>
      <c r="S181" s="51"/>
      <c r="T181" s="55"/>
      <c r="U181" s="69"/>
      <c r="V181" s="50"/>
      <c r="W181" s="50"/>
      <c r="X181" s="50"/>
      <c r="Y181" s="50"/>
      <c r="Z181" s="50"/>
      <c r="AA181" s="50"/>
      <c r="AB181" s="50"/>
      <c r="AC181" s="50">
        <f>IF(COUNTIF($C$3:C181,C181)=1,1,IF(COUNTIF($E$3:E181,E181)=1,2,0))</f>
        <v>0</v>
      </c>
      <c r="AD181" s="50">
        <f>IF(ISNUMBER(SEARCH("-",Database[[#This Row],[KEYNOTE '#]])),LEFT(Database[[#This Row],[KEYNOTE '#]],FIND("-",Database[[#This Row],[KEYNOTE '#]])-1),Database[[#This Row],[KEYNOTE '#]])</f>
        <v>5203</v>
      </c>
      <c r="AE18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1" s="50" t="str">
        <f>IF(AND(ISNUMBER(SEARCH("-",Database[[#This Row],[KEYNOTE '#]]))=TRUE,ISNUMBER(--RIGHT(Database[[#This Row],[KEYNOTE '#]]))=FALSE),RIGHT(Database[[#This Row],[KEYNOTE '#]],1),"")</f>
        <v/>
      </c>
      <c r="AG181" s="50">
        <v>179</v>
      </c>
      <c r="AH181" s="50" t="str">
        <f>IF(COUNTIF(Database[[#This Row],[BASE]:[INT. OTHER]],"g"),"INTERIOR",IF(COUNTIF(Database[[#This Row],[ROOF]:[EXT. OTHER]],"n"),"EXTERIOR",Database[[#This Row],[DIVISION '#]]))</f>
        <v>SYSTEM NOTES</v>
      </c>
      <c r="AI181" s="50" t="str">
        <f>IF(OR(Database[[#This Row],[KEYTIER1]]="INTERIOR",Database[[#This Row],[KEYTIER1]]="EXTERIOR"),"",Database[[#This Row],[DIVISION NAME]])</f>
        <v>BY CATEGORY</v>
      </c>
      <c r="AJ181" s="50" t="str">
        <f>IF(Database[[#This Row],[KEYTIER1]]="INTERIOR","INT",IF(Database[[#This Row],[KEYTIER1]]="EXTERIOR","EXT",Database[[#This Row],[SECTION '#]]))</f>
        <v>COMM</v>
      </c>
      <c r="AK181" s="50" t="str">
        <f>IF(OR(Database[[#This Row],[KEYTIER2]]="INT",Database[[#This Row],[KEYTIER2]]="EXT"),"",IF(Database[[#This Row],[SECTION NAME]]="","",Database[[#This Row],[SECTION NAME]]))</f>
        <v/>
      </c>
    </row>
    <row r="182" spans="2:37" ht="43.5" x14ac:dyDescent="0.35">
      <c r="B182" s="50" t="s">
        <v>71</v>
      </c>
      <c r="C182" s="50" t="s">
        <v>165</v>
      </c>
      <c r="D182" s="50" t="s">
        <v>73</v>
      </c>
      <c r="E182" s="50" t="s">
        <v>174</v>
      </c>
      <c r="F182" s="53"/>
      <c r="G182" s="72">
        <v>5301</v>
      </c>
      <c r="H182" s="53"/>
      <c r="I182" s="64"/>
      <c r="J182" s="52"/>
      <c r="K182" s="52"/>
      <c r="L182" s="52"/>
      <c r="M182" s="52"/>
      <c r="N182" s="54"/>
      <c r="O182" s="66"/>
      <c r="P182" s="51"/>
      <c r="Q182" s="51"/>
      <c r="R182" s="51"/>
      <c r="S182" s="51"/>
      <c r="T182" s="55"/>
      <c r="U182" s="69"/>
      <c r="V182" s="50"/>
      <c r="W182" s="50"/>
      <c r="X182" s="50"/>
      <c r="Y182" s="50"/>
      <c r="Z182" s="50"/>
      <c r="AA182" s="50"/>
      <c r="AB182" s="50"/>
      <c r="AC182" s="50">
        <f>IF(COUNTIF($C$3:C182,C182)=1,1,IF(COUNTIF($E$3:E182,E182)=1,2,0))</f>
        <v>2</v>
      </c>
      <c r="AD182" s="50">
        <f>IF(ISNUMBER(SEARCH("-",Database[[#This Row],[KEYNOTE '#]])),LEFT(Database[[#This Row],[KEYNOTE '#]],FIND("-",Database[[#This Row],[KEYNOTE '#]])-1),Database[[#This Row],[KEYNOTE '#]])</f>
        <v>5301</v>
      </c>
      <c r="AE18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2" s="50" t="str">
        <f>IF(AND(ISNUMBER(SEARCH("-",Database[[#This Row],[KEYNOTE '#]]))=TRUE,ISNUMBER(--RIGHT(Database[[#This Row],[KEYNOTE '#]]))=FALSE),RIGHT(Database[[#This Row],[KEYNOTE '#]],1),"")</f>
        <v/>
      </c>
      <c r="AG182" s="50">
        <v>180</v>
      </c>
      <c r="AH182" s="50" t="str">
        <f>IF(COUNTIF(Database[[#This Row],[BASE]:[INT. OTHER]],"g"),"INTERIOR",IF(COUNTIF(Database[[#This Row],[ROOF]:[EXT. OTHER]],"n"),"EXTERIOR",Database[[#This Row],[DIVISION '#]]))</f>
        <v>SYSTEM NOTES</v>
      </c>
      <c r="AI182" s="50" t="str">
        <f>IF(OR(Database[[#This Row],[KEYTIER1]]="INTERIOR",Database[[#This Row],[KEYTIER1]]="EXTERIOR"),"",Database[[#This Row],[DIVISION NAME]])</f>
        <v>BY CATEGORY</v>
      </c>
      <c r="AJ182" s="50" t="str">
        <f>IF(Database[[#This Row],[KEYTIER1]]="INTERIOR","INT",IF(Database[[#This Row],[KEYTIER1]]="EXTERIOR","EXT",Database[[#This Row],[SECTION '#]]))</f>
        <v>ELECTRICAL</v>
      </c>
      <c r="AK182" s="50" t="str">
        <f>IF(OR(Database[[#This Row],[KEYTIER2]]="INT",Database[[#This Row],[KEYTIER2]]="EXT"),"",IF(Database[[#This Row],[SECTION NAME]]="","",Database[[#This Row],[SECTION NAME]]))</f>
        <v/>
      </c>
    </row>
    <row r="183" spans="2:37" ht="43.5" x14ac:dyDescent="0.35">
      <c r="B183" s="50" t="s">
        <v>71</v>
      </c>
      <c r="C183" s="50" t="s">
        <v>165</v>
      </c>
      <c r="D183" s="50" t="s">
        <v>73</v>
      </c>
      <c r="E183" s="50" t="s">
        <v>174</v>
      </c>
      <c r="F183" s="53"/>
      <c r="G183" s="72">
        <v>5302</v>
      </c>
      <c r="H183" s="53"/>
      <c r="I183" s="64"/>
      <c r="J183" s="52"/>
      <c r="K183" s="52"/>
      <c r="L183" s="52"/>
      <c r="M183" s="52"/>
      <c r="N183" s="54"/>
      <c r="O183" s="66"/>
      <c r="P183" s="51"/>
      <c r="Q183" s="51"/>
      <c r="R183" s="51"/>
      <c r="S183" s="51"/>
      <c r="T183" s="55"/>
      <c r="U183" s="69"/>
      <c r="V183" s="50"/>
      <c r="W183" s="50"/>
      <c r="X183" s="50"/>
      <c r="Y183" s="50"/>
      <c r="Z183" s="50"/>
      <c r="AA183" s="50"/>
      <c r="AB183" s="50"/>
      <c r="AC183" s="50">
        <f>IF(COUNTIF($C$3:C183,C183)=1,1,IF(COUNTIF($E$3:E183,E183)=1,2,0))</f>
        <v>0</v>
      </c>
      <c r="AD183" s="50">
        <f>IF(ISNUMBER(SEARCH("-",Database[[#This Row],[KEYNOTE '#]])),LEFT(Database[[#This Row],[KEYNOTE '#]],FIND("-",Database[[#This Row],[KEYNOTE '#]])-1),Database[[#This Row],[KEYNOTE '#]])</f>
        <v>5302</v>
      </c>
      <c r="AE18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3" s="50" t="str">
        <f>IF(AND(ISNUMBER(SEARCH("-",Database[[#This Row],[KEYNOTE '#]]))=TRUE,ISNUMBER(--RIGHT(Database[[#This Row],[KEYNOTE '#]]))=FALSE),RIGHT(Database[[#This Row],[KEYNOTE '#]],1),"")</f>
        <v/>
      </c>
      <c r="AG183" s="50">
        <v>181</v>
      </c>
      <c r="AH183" s="50" t="str">
        <f>IF(COUNTIF(Database[[#This Row],[BASE]:[INT. OTHER]],"g"),"INTERIOR",IF(COUNTIF(Database[[#This Row],[ROOF]:[EXT. OTHER]],"n"),"EXTERIOR",Database[[#This Row],[DIVISION '#]]))</f>
        <v>SYSTEM NOTES</v>
      </c>
      <c r="AI183" s="50" t="str">
        <f>IF(OR(Database[[#This Row],[KEYTIER1]]="INTERIOR",Database[[#This Row],[KEYTIER1]]="EXTERIOR"),"",Database[[#This Row],[DIVISION NAME]])</f>
        <v>BY CATEGORY</v>
      </c>
      <c r="AJ183" s="50" t="str">
        <f>IF(Database[[#This Row],[KEYTIER1]]="INTERIOR","INT",IF(Database[[#This Row],[KEYTIER1]]="EXTERIOR","EXT",Database[[#This Row],[SECTION '#]]))</f>
        <v>ELECTRICAL</v>
      </c>
      <c r="AK183" s="50" t="str">
        <f>IF(OR(Database[[#This Row],[KEYTIER2]]="INT",Database[[#This Row],[KEYTIER2]]="EXT"),"",IF(Database[[#This Row],[SECTION NAME]]="","",Database[[#This Row],[SECTION NAME]]))</f>
        <v/>
      </c>
    </row>
    <row r="184" spans="2:37" ht="43.5" x14ac:dyDescent="0.35">
      <c r="B184" s="50" t="s">
        <v>71</v>
      </c>
      <c r="C184" s="50" t="s">
        <v>165</v>
      </c>
      <c r="D184" s="50" t="s">
        <v>73</v>
      </c>
      <c r="E184" s="50" t="s">
        <v>174</v>
      </c>
      <c r="F184" s="53"/>
      <c r="G184" s="72">
        <v>5303</v>
      </c>
      <c r="H184" s="53"/>
      <c r="I184" s="64"/>
      <c r="J184" s="52"/>
      <c r="K184" s="52"/>
      <c r="L184" s="52"/>
      <c r="M184" s="52"/>
      <c r="N184" s="54"/>
      <c r="O184" s="66"/>
      <c r="P184" s="51"/>
      <c r="Q184" s="51"/>
      <c r="R184" s="51"/>
      <c r="S184" s="51"/>
      <c r="T184" s="55"/>
      <c r="U184" s="69"/>
      <c r="V184" s="50"/>
      <c r="W184" s="50"/>
      <c r="X184" s="50"/>
      <c r="Y184" s="50"/>
      <c r="Z184" s="50"/>
      <c r="AA184" s="50"/>
      <c r="AB184" s="50"/>
      <c r="AC184" s="50">
        <f>IF(COUNTIF($C$3:C184,C184)=1,1,IF(COUNTIF($E$3:E184,E184)=1,2,0))</f>
        <v>0</v>
      </c>
      <c r="AD184" s="50">
        <f>IF(ISNUMBER(SEARCH("-",Database[[#This Row],[KEYNOTE '#]])),LEFT(Database[[#This Row],[KEYNOTE '#]],FIND("-",Database[[#This Row],[KEYNOTE '#]])-1),Database[[#This Row],[KEYNOTE '#]])</f>
        <v>5303</v>
      </c>
      <c r="AE18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4" s="50" t="str">
        <f>IF(AND(ISNUMBER(SEARCH("-",Database[[#This Row],[KEYNOTE '#]]))=TRUE,ISNUMBER(--RIGHT(Database[[#This Row],[KEYNOTE '#]]))=FALSE),RIGHT(Database[[#This Row],[KEYNOTE '#]],1),"")</f>
        <v/>
      </c>
      <c r="AG184" s="50">
        <v>182</v>
      </c>
      <c r="AH184" s="50" t="str">
        <f>IF(COUNTIF(Database[[#This Row],[BASE]:[INT. OTHER]],"g"),"INTERIOR",IF(COUNTIF(Database[[#This Row],[ROOF]:[EXT. OTHER]],"n"),"EXTERIOR",Database[[#This Row],[DIVISION '#]]))</f>
        <v>SYSTEM NOTES</v>
      </c>
      <c r="AI184" s="50" t="str">
        <f>IF(OR(Database[[#This Row],[KEYTIER1]]="INTERIOR",Database[[#This Row],[KEYTIER1]]="EXTERIOR"),"",Database[[#This Row],[DIVISION NAME]])</f>
        <v>BY CATEGORY</v>
      </c>
      <c r="AJ184" s="50" t="str">
        <f>IF(Database[[#This Row],[KEYTIER1]]="INTERIOR","INT",IF(Database[[#This Row],[KEYTIER1]]="EXTERIOR","EXT",Database[[#This Row],[SECTION '#]]))</f>
        <v>ELECTRICAL</v>
      </c>
      <c r="AK184" s="50" t="str">
        <f>IF(OR(Database[[#This Row],[KEYTIER2]]="INT",Database[[#This Row],[KEYTIER2]]="EXT"),"",IF(Database[[#This Row],[SECTION NAME]]="","",Database[[#This Row],[SECTION NAME]]))</f>
        <v/>
      </c>
    </row>
    <row r="185" spans="2:37" ht="43.5" x14ac:dyDescent="0.35">
      <c r="B185" s="50" t="s">
        <v>71</v>
      </c>
      <c r="C185" s="50" t="s">
        <v>165</v>
      </c>
      <c r="D185" s="50" t="s">
        <v>73</v>
      </c>
      <c r="E185" s="50" t="s">
        <v>178</v>
      </c>
      <c r="F185" s="53"/>
      <c r="G185" s="72">
        <v>5401</v>
      </c>
      <c r="H185" s="53"/>
      <c r="I185" s="64"/>
      <c r="J185" s="52"/>
      <c r="K185" s="52"/>
      <c r="L185" s="52"/>
      <c r="M185" s="52"/>
      <c r="N185" s="54"/>
      <c r="O185" s="66"/>
      <c r="P185" s="51"/>
      <c r="Q185" s="51"/>
      <c r="R185" s="51"/>
      <c r="S185" s="51"/>
      <c r="T185" s="55"/>
      <c r="U185" s="69"/>
      <c r="V185" s="50"/>
      <c r="W185" s="50"/>
      <c r="X185" s="50"/>
      <c r="Y185" s="50"/>
      <c r="Z185" s="50"/>
      <c r="AA185" s="50"/>
      <c r="AB185" s="50"/>
      <c r="AC185" s="50">
        <f>IF(COUNTIF($C$3:C185,C185)=1,1,IF(COUNTIF($E$3:E185,E185)=1,2,0))</f>
        <v>2</v>
      </c>
      <c r="AD185" s="50">
        <f>IF(ISNUMBER(SEARCH("-",Database[[#This Row],[KEYNOTE '#]])),LEFT(Database[[#This Row],[KEYNOTE '#]],FIND("-",Database[[#This Row],[KEYNOTE '#]])-1),Database[[#This Row],[KEYNOTE '#]])</f>
        <v>5401</v>
      </c>
      <c r="AE18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5" s="50" t="str">
        <f>IF(AND(ISNUMBER(SEARCH("-",Database[[#This Row],[KEYNOTE '#]]))=TRUE,ISNUMBER(--RIGHT(Database[[#This Row],[KEYNOTE '#]]))=FALSE),RIGHT(Database[[#This Row],[KEYNOTE '#]],1),"")</f>
        <v/>
      </c>
      <c r="AG185" s="50">
        <v>183</v>
      </c>
      <c r="AH185" s="50" t="str">
        <f>IF(COUNTIF(Database[[#This Row],[BASE]:[INT. OTHER]],"g"),"INTERIOR",IF(COUNTIF(Database[[#This Row],[ROOF]:[EXT. OTHER]],"n"),"EXTERIOR",Database[[#This Row],[DIVISION '#]]))</f>
        <v>SYSTEM NOTES</v>
      </c>
      <c r="AI185" s="50" t="str">
        <f>IF(OR(Database[[#This Row],[KEYTIER1]]="INTERIOR",Database[[#This Row],[KEYTIER1]]="EXTERIOR"),"",Database[[#This Row],[DIVISION NAME]])</f>
        <v>BY CATEGORY</v>
      </c>
      <c r="AJ185" s="50" t="str">
        <f>IF(Database[[#This Row],[KEYTIER1]]="INTERIOR","INT",IF(Database[[#This Row],[KEYTIER1]]="EXTERIOR","EXT",Database[[#This Row],[SECTION '#]]))</f>
        <v>FIRE PROTECTION</v>
      </c>
      <c r="AK185" s="50" t="str">
        <f>IF(OR(Database[[#This Row],[KEYTIER2]]="INT",Database[[#This Row],[KEYTIER2]]="EXT"),"",IF(Database[[#This Row],[SECTION NAME]]="","",Database[[#This Row],[SECTION NAME]]))</f>
        <v/>
      </c>
    </row>
    <row r="186" spans="2:37" ht="43.5" x14ac:dyDescent="0.35">
      <c r="B186" s="50" t="s">
        <v>71</v>
      </c>
      <c r="C186" s="50" t="s">
        <v>165</v>
      </c>
      <c r="D186" s="50" t="s">
        <v>73</v>
      </c>
      <c r="E186" s="50" t="s">
        <v>178</v>
      </c>
      <c r="F186" s="53"/>
      <c r="G186" s="72">
        <v>5402</v>
      </c>
      <c r="H186" s="53"/>
      <c r="I186" s="64"/>
      <c r="J186" s="52"/>
      <c r="K186" s="52"/>
      <c r="L186" s="52"/>
      <c r="M186" s="52"/>
      <c r="N186" s="54"/>
      <c r="O186" s="66"/>
      <c r="P186" s="51"/>
      <c r="Q186" s="51"/>
      <c r="R186" s="51"/>
      <c r="S186" s="51"/>
      <c r="T186" s="55"/>
      <c r="U186" s="69"/>
      <c r="V186" s="50"/>
      <c r="W186" s="50"/>
      <c r="X186" s="50"/>
      <c r="Y186" s="50"/>
      <c r="Z186" s="50"/>
      <c r="AA186" s="50"/>
      <c r="AB186" s="50"/>
      <c r="AC186" s="50">
        <f>IF(COUNTIF($C$3:C186,C186)=1,1,IF(COUNTIF($E$3:E186,E186)=1,2,0))</f>
        <v>0</v>
      </c>
      <c r="AD186" s="50">
        <f>IF(ISNUMBER(SEARCH("-",Database[[#This Row],[KEYNOTE '#]])),LEFT(Database[[#This Row],[KEYNOTE '#]],FIND("-",Database[[#This Row],[KEYNOTE '#]])-1),Database[[#This Row],[KEYNOTE '#]])</f>
        <v>5402</v>
      </c>
      <c r="AE18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6" s="50" t="str">
        <f>IF(AND(ISNUMBER(SEARCH("-",Database[[#This Row],[KEYNOTE '#]]))=TRUE,ISNUMBER(--RIGHT(Database[[#This Row],[KEYNOTE '#]]))=FALSE),RIGHT(Database[[#This Row],[KEYNOTE '#]],1),"")</f>
        <v/>
      </c>
      <c r="AG186" s="50">
        <v>184</v>
      </c>
      <c r="AH186" s="50" t="str">
        <f>IF(COUNTIF(Database[[#This Row],[BASE]:[INT. OTHER]],"g"),"INTERIOR",IF(COUNTIF(Database[[#This Row],[ROOF]:[EXT. OTHER]],"n"),"EXTERIOR",Database[[#This Row],[DIVISION '#]]))</f>
        <v>SYSTEM NOTES</v>
      </c>
      <c r="AI186" s="50" t="str">
        <f>IF(OR(Database[[#This Row],[KEYTIER1]]="INTERIOR",Database[[#This Row],[KEYTIER1]]="EXTERIOR"),"",Database[[#This Row],[DIVISION NAME]])</f>
        <v>BY CATEGORY</v>
      </c>
      <c r="AJ186" s="50" t="str">
        <f>IF(Database[[#This Row],[KEYTIER1]]="INTERIOR","INT",IF(Database[[#This Row],[KEYTIER1]]="EXTERIOR","EXT",Database[[#This Row],[SECTION '#]]))</f>
        <v>FIRE PROTECTION</v>
      </c>
      <c r="AK186" s="50" t="str">
        <f>IF(OR(Database[[#This Row],[KEYTIER2]]="INT",Database[[#This Row],[KEYTIER2]]="EXT"),"",IF(Database[[#This Row],[SECTION NAME]]="","",Database[[#This Row],[SECTION NAME]]))</f>
        <v/>
      </c>
    </row>
    <row r="187" spans="2:37" ht="43.5" x14ac:dyDescent="0.35">
      <c r="B187" s="50" t="s">
        <v>71</v>
      </c>
      <c r="C187" s="50" t="s">
        <v>165</v>
      </c>
      <c r="D187" s="50" t="s">
        <v>73</v>
      </c>
      <c r="E187" s="50" t="s">
        <v>178</v>
      </c>
      <c r="F187" s="53"/>
      <c r="G187" s="72">
        <v>5403</v>
      </c>
      <c r="H187" s="53"/>
      <c r="I187" s="64"/>
      <c r="J187" s="52"/>
      <c r="K187" s="52"/>
      <c r="L187" s="52"/>
      <c r="M187" s="52"/>
      <c r="N187" s="54"/>
      <c r="O187" s="66"/>
      <c r="P187" s="51"/>
      <c r="Q187" s="51"/>
      <c r="R187" s="51"/>
      <c r="S187" s="51"/>
      <c r="T187" s="55"/>
      <c r="U187" s="69"/>
      <c r="V187" s="50"/>
      <c r="W187" s="50"/>
      <c r="X187" s="50"/>
      <c r="Y187" s="50"/>
      <c r="Z187" s="50"/>
      <c r="AA187" s="50"/>
      <c r="AB187" s="50"/>
      <c r="AC187" s="50">
        <f>IF(COUNTIF($C$3:C187,C187)=1,1,IF(COUNTIF($E$3:E187,E187)=1,2,0))</f>
        <v>0</v>
      </c>
      <c r="AD187" s="50">
        <f>IF(ISNUMBER(SEARCH("-",Database[[#This Row],[KEYNOTE '#]])),LEFT(Database[[#This Row],[KEYNOTE '#]],FIND("-",Database[[#This Row],[KEYNOTE '#]])-1),Database[[#This Row],[KEYNOTE '#]])</f>
        <v>5403</v>
      </c>
      <c r="AE18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7" s="50" t="str">
        <f>IF(AND(ISNUMBER(SEARCH("-",Database[[#This Row],[KEYNOTE '#]]))=TRUE,ISNUMBER(--RIGHT(Database[[#This Row],[KEYNOTE '#]]))=FALSE),RIGHT(Database[[#This Row],[KEYNOTE '#]],1),"")</f>
        <v/>
      </c>
      <c r="AG187" s="50">
        <v>185</v>
      </c>
      <c r="AH187" s="50" t="str">
        <f>IF(COUNTIF(Database[[#This Row],[BASE]:[INT. OTHER]],"g"),"INTERIOR",IF(COUNTIF(Database[[#This Row],[ROOF]:[EXT. OTHER]],"n"),"EXTERIOR",Database[[#This Row],[DIVISION '#]]))</f>
        <v>SYSTEM NOTES</v>
      </c>
      <c r="AI187" s="50" t="str">
        <f>IF(OR(Database[[#This Row],[KEYTIER1]]="INTERIOR",Database[[#This Row],[KEYTIER1]]="EXTERIOR"),"",Database[[#This Row],[DIVISION NAME]])</f>
        <v>BY CATEGORY</v>
      </c>
      <c r="AJ187" s="50" t="str">
        <f>IF(Database[[#This Row],[KEYTIER1]]="INTERIOR","INT",IF(Database[[#This Row],[KEYTIER1]]="EXTERIOR","EXT",Database[[#This Row],[SECTION '#]]))</f>
        <v>FIRE PROTECTION</v>
      </c>
      <c r="AK187" s="50" t="str">
        <f>IF(OR(Database[[#This Row],[KEYTIER2]]="INT",Database[[#This Row],[KEYTIER2]]="EXT"),"",IF(Database[[#This Row],[SECTION NAME]]="","",Database[[#This Row],[SECTION NAME]]))</f>
        <v/>
      </c>
    </row>
    <row r="188" spans="2:37" ht="43.5" x14ac:dyDescent="0.35">
      <c r="B188" s="50" t="s">
        <v>71</v>
      </c>
      <c r="C188" s="50" t="s">
        <v>165</v>
      </c>
      <c r="D188" s="50" t="s">
        <v>73</v>
      </c>
      <c r="E188" s="50" t="s">
        <v>182</v>
      </c>
      <c r="F188" s="53"/>
      <c r="G188" s="72">
        <v>5501</v>
      </c>
      <c r="H188" s="53"/>
      <c r="I188" s="64"/>
      <c r="J188" s="52"/>
      <c r="K188" s="52"/>
      <c r="L188" s="52"/>
      <c r="M188" s="52"/>
      <c r="N188" s="54"/>
      <c r="O188" s="66"/>
      <c r="P188" s="51"/>
      <c r="Q188" s="51"/>
      <c r="R188" s="51"/>
      <c r="S188" s="51"/>
      <c r="T188" s="55"/>
      <c r="U188" s="69"/>
      <c r="V188" s="50"/>
      <c r="W188" s="50"/>
      <c r="X188" s="50"/>
      <c r="Y188" s="50"/>
      <c r="Z188" s="50"/>
      <c r="AA188" s="50"/>
      <c r="AB188" s="50"/>
      <c r="AC188" s="50">
        <f>IF(COUNTIF($C$3:C188,C188)=1,1,IF(COUNTIF($E$3:E188,E188)=1,2,0))</f>
        <v>2</v>
      </c>
      <c r="AD188" s="50">
        <f>IF(ISNUMBER(SEARCH("-",Database[[#This Row],[KEYNOTE '#]])),LEFT(Database[[#This Row],[KEYNOTE '#]],FIND("-",Database[[#This Row],[KEYNOTE '#]])-1),Database[[#This Row],[KEYNOTE '#]])</f>
        <v>5501</v>
      </c>
      <c r="AE18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8" s="50" t="str">
        <f>IF(AND(ISNUMBER(SEARCH("-",Database[[#This Row],[KEYNOTE '#]]))=TRUE,ISNUMBER(--RIGHT(Database[[#This Row],[KEYNOTE '#]]))=FALSE),RIGHT(Database[[#This Row],[KEYNOTE '#]],1),"")</f>
        <v/>
      </c>
      <c r="AG188" s="50">
        <v>186</v>
      </c>
      <c r="AH188" s="50" t="str">
        <f>IF(COUNTIF(Database[[#This Row],[BASE]:[INT. OTHER]],"g"),"INTERIOR",IF(COUNTIF(Database[[#This Row],[ROOF]:[EXT. OTHER]],"n"),"EXTERIOR",Database[[#This Row],[DIVISION '#]]))</f>
        <v>SYSTEM NOTES</v>
      </c>
      <c r="AI188" s="50" t="str">
        <f>IF(OR(Database[[#This Row],[KEYTIER1]]="INTERIOR",Database[[#This Row],[KEYTIER1]]="EXTERIOR"),"",Database[[#This Row],[DIVISION NAME]])</f>
        <v>BY CATEGORY</v>
      </c>
      <c r="AJ188" s="50" t="str">
        <f>IF(Database[[#This Row],[KEYTIER1]]="INTERIOR","INT",IF(Database[[#This Row],[KEYTIER1]]="EXTERIOR","EXT",Database[[#This Row],[SECTION '#]]))</f>
        <v>LAB</v>
      </c>
      <c r="AK188" s="50" t="str">
        <f>IF(OR(Database[[#This Row],[KEYTIER2]]="INT",Database[[#This Row],[KEYTIER2]]="EXT"),"",IF(Database[[#This Row],[SECTION NAME]]="","",Database[[#This Row],[SECTION NAME]]))</f>
        <v/>
      </c>
    </row>
    <row r="189" spans="2:37" ht="43.5" x14ac:dyDescent="0.35">
      <c r="B189" s="50" t="s">
        <v>71</v>
      </c>
      <c r="C189" s="50" t="s">
        <v>165</v>
      </c>
      <c r="D189" s="50" t="s">
        <v>73</v>
      </c>
      <c r="E189" s="50" t="s">
        <v>182</v>
      </c>
      <c r="F189" s="53"/>
      <c r="G189" s="72">
        <v>5502</v>
      </c>
      <c r="H189" s="53"/>
      <c r="I189" s="64"/>
      <c r="J189" s="52"/>
      <c r="K189" s="52"/>
      <c r="L189" s="52"/>
      <c r="M189" s="52"/>
      <c r="N189" s="54"/>
      <c r="O189" s="66"/>
      <c r="P189" s="51"/>
      <c r="Q189" s="51"/>
      <c r="R189" s="51"/>
      <c r="S189" s="51"/>
      <c r="T189" s="55"/>
      <c r="U189" s="69"/>
      <c r="V189" s="50"/>
      <c r="W189" s="50"/>
      <c r="X189" s="50"/>
      <c r="Y189" s="50"/>
      <c r="Z189" s="50"/>
      <c r="AA189" s="50"/>
      <c r="AB189" s="50"/>
      <c r="AC189" s="50">
        <f>IF(COUNTIF($C$3:C189,C189)=1,1,IF(COUNTIF($E$3:E189,E189)=1,2,0))</f>
        <v>0</v>
      </c>
      <c r="AD189" s="50">
        <f>IF(ISNUMBER(SEARCH("-",Database[[#This Row],[KEYNOTE '#]])),LEFT(Database[[#This Row],[KEYNOTE '#]],FIND("-",Database[[#This Row],[KEYNOTE '#]])-1),Database[[#This Row],[KEYNOTE '#]])</f>
        <v>5502</v>
      </c>
      <c r="AE18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9" s="50" t="str">
        <f>IF(AND(ISNUMBER(SEARCH("-",Database[[#This Row],[KEYNOTE '#]]))=TRUE,ISNUMBER(--RIGHT(Database[[#This Row],[KEYNOTE '#]]))=FALSE),RIGHT(Database[[#This Row],[KEYNOTE '#]],1),"")</f>
        <v/>
      </c>
      <c r="AG189" s="50">
        <v>187</v>
      </c>
      <c r="AH189" s="50" t="str">
        <f>IF(COUNTIF(Database[[#This Row],[BASE]:[INT. OTHER]],"g"),"INTERIOR",IF(COUNTIF(Database[[#This Row],[ROOF]:[EXT. OTHER]],"n"),"EXTERIOR",Database[[#This Row],[DIVISION '#]]))</f>
        <v>SYSTEM NOTES</v>
      </c>
      <c r="AI189" s="50" t="str">
        <f>IF(OR(Database[[#This Row],[KEYTIER1]]="INTERIOR",Database[[#This Row],[KEYTIER1]]="EXTERIOR"),"",Database[[#This Row],[DIVISION NAME]])</f>
        <v>BY CATEGORY</v>
      </c>
      <c r="AJ189" s="50" t="str">
        <f>IF(Database[[#This Row],[KEYTIER1]]="INTERIOR","INT",IF(Database[[#This Row],[KEYTIER1]]="EXTERIOR","EXT",Database[[#This Row],[SECTION '#]]))</f>
        <v>LAB</v>
      </c>
      <c r="AK189" s="50" t="str">
        <f>IF(OR(Database[[#This Row],[KEYTIER2]]="INT",Database[[#This Row],[KEYTIER2]]="EXT"),"",IF(Database[[#This Row],[SECTION NAME]]="","",Database[[#This Row],[SECTION NAME]]))</f>
        <v/>
      </c>
    </row>
    <row r="190" spans="2:37" ht="43.5" x14ac:dyDescent="0.35">
      <c r="B190" s="50" t="s">
        <v>71</v>
      </c>
      <c r="C190" s="50" t="s">
        <v>165</v>
      </c>
      <c r="D190" s="50" t="s">
        <v>73</v>
      </c>
      <c r="E190" s="50" t="s">
        <v>182</v>
      </c>
      <c r="F190" s="53"/>
      <c r="G190" s="72">
        <v>5503</v>
      </c>
      <c r="H190" s="53"/>
      <c r="I190" s="64"/>
      <c r="J190" s="52"/>
      <c r="K190" s="52"/>
      <c r="L190" s="52"/>
      <c r="M190" s="52"/>
      <c r="N190" s="54"/>
      <c r="O190" s="66"/>
      <c r="P190" s="51"/>
      <c r="Q190" s="51"/>
      <c r="R190" s="51"/>
      <c r="S190" s="51"/>
      <c r="T190" s="55"/>
      <c r="U190" s="69"/>
      <c r="V190" s="50"/>
      <c r="W190" s="50"/>
      <c r="X190" s="50"/>
      <c r="Y190" s="50"/>
      <c r="Z190" s="50"/>
      <c r="AA190" s="50"/>
      <c r="AB190" s="50"/>
      <c r="AC190" s="50">
        <f>IF(COUNTIF($C$3:C190,C190)=1,1,IF(COUNTIF($E$3:E190,E190)=1,2,0))</f>
        <v>0</v>
      </c>
      <c r="AD190" s="50">
        <f>IF(ISNUMBER(SEARCH("-",Database[[#This Row],[KEYNOTE '#]])),LEFT(Database[[#This Row],[KEYNOTE '#]],FIND("-",Database[[#This Row],[KEYNOTE '#]])-1),Database[[#This Row],[KEYNOTE '#]])</f>
        <v>5503</v>
      </c>
      <c r="AE19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0" s="50" t="str">
        <f>IF(AND(ISNUMBER(SEARCH("-",Database[[#This Row],[KEYNOTE '#]]))=TRUE,ISNUMBER(--RIGHT(Database[[#This Row],[KEYNOTE '#]]))=FALSE),RIGHT(Database[[#This Row],[KEYNOTE '#]],1),"")</f>
        <v/>
      </c>
      <c r="AG190" s="50">
        <v>188</v>
      </c>
      <c r="AH190" s="50" t="str">
        <f>IF(COUNTIF(Database[[#This Row],[BASE]:[INT. OTHER]],"g"),"INTERIOR",IF(COUNTIF(Database[[#This Row],[ROOF]:[EXT. OTHER]],"n"),"EXTERIOR",Database[[#This Row],[DIVISION '#]]))</f>
        <v>SYSTEM NOTES</v>
      </c>
      <c r="AI190" s="50" t="str">
        <f>IF(OR(Database[[#This Row],[KEYTIER1]]="INTERIOR",Database[[#This Row],[KEYTIER1]]="EXTERIOR"),"",Database[[#This Row],[DIVISION NAME]])</f>
        <v>BY CATEGORY</v>
      </c>
      <c r="AJ190" s="50" t="str">
        <f>IF(Database[[#This Row],[KEYTIER1]]="INTERIOR","INT",IF(Database[[#This Row],[KEYTIER1]]="EXTERIOR","EXT",Database[[#This Row],[SECTION '#]]))</f>
        <v>LAB</v>
      </c>
      <c r="AK190" s="50" t="str">
        <f>IF(OR(Database[[#This Row],[KEYTIER2]]="INT",Database[[#This Row],[KEYTIER2]]="EXT"),"",IF(Database[[#This Row],[SECTION NAME]]="","",Database[[#This Row],[SECTION NAME]]))</f>
        <v/>
      </c>
    </row>
    <row r="191" spans="2:37" ht="43.5" x14ac:dyDescent="0.35">
      <c r="B191" s="50" t="s">
        <v>71</v>
      </c>
      <c r="C191" s="50" t="s">
        <v>165</v>
      </c>
      <c r="D191" s="50" t="s">
        <v>73</v>
      </c>
      <c r="E191" s="50" t="s">
        <v>186</v>
      </c>
      <c r="F191" s="53"/>
      <c r="G191" s="72">
        <v>5601</v>
      </c>
      <c r="H191" s="53"/>
      <c r="I191" s="64"/>
      <c r="J191" s="52"/>
      <c r="K191" s="52"/>
      <c r="L191" s="52"/>
      <c r="M191" s="52"/>
      <c r="N191" s="54"/>
      <c r="O191" s="66"/>
      <c r="P191" s="51"/>
      <c r="Q191" s="51"/>
      <c r="R191" s="51"/>
      <c r="S191" s="51"/>
      <c r="T191" s="55"/>
      <c r="U191" s="69"/>
      <c r="V191" s="50"/>
      <c r="W191" s="50"/>
      <c r="X191" s="50"/>
      <c r="Y191" s="50"/>
      <c r="Z191" s="50"/>
      <c r="AA191" s="50"/>
      <c r="AB191" s="50"/>
      <c r="AC191" s="50">
        <f>IF(COUNTIF($C$3:C191,C191)=1,1,IF(COUNTIF($E$3:E191,E191)=1,2,0))</f>
        <v>2</v>
      </c>
      <c r="AD191" s="50">
        <f>IF(ISNUMBER(SEARCH("-",Database[[#This Row],[KEYNOTE '#]])),LEFT(Database[[#This Row],[KEYNOTE '#]],FIND("-",Database[[#This Row],[KEYNOTE '#]])-1),Database[[#This Row],[KEYNOTE '#]])</f>
        <v>5601</v>
      </c>
      <c r="AE19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1" s="50" t="str">
        <f>IF(AND(ISNUMBER(SEARCH("-",Database[[#This Row],[KEYNOTE '#]]))=TRUE,ISNUMBER(--RIGHT(Database[[#This Row],[KEYNOTE '#]]))=FALSE),RIGHT(Database[[#This Row],[KEYNOTE '#]],1),"")</f>
        <v/>
      </c>
      <c r="AG191" s="50">
        <v>189</v>
      </c>
      <c r="AH191" s="50" t="str">
        <f>IF(COUNTIF(Database[[#This Row],[BASE]:[INT. OTHER]],"g"),"INTERIOR",IF(COUNTIF(Database[[#This Row],[ROOF]:[EXT. OTHER]],"n"),"EXTERIOR",Database[[#This Row],[DIVISION '#]]))</f>
        <v>SYSTEM NOTES</v>
      </c>
      <c r="AI191" s="50" t="str">
        <f>IF(OR(Database[[#This Row],[KEYTIER1]]="INTERIOR",Database[[#This Row],[KEYTIER1]]="EXTERIOR"),"",Database[[#This Row],[DIVISION NAME]])</f>
        <v>BY CATEGORY</v>
      </c>
      <c r="AJ191" s="50" t="str">
        <f>IF(Database[[#This Row],[KEYTIER1]]="INTERIOR","INT",IF(Database[[#This Row],[KEYTIER1]]="EXTERIOR","EXT",Database[[#This Row],[SECTION '#]]))</f>
        <v>LIGHTING</v>
      </c>
      <c r="AK191" s="50" t="str">
        <f>IF(OR(Database[[#This Row],[KEYTIER2]]="INT",Database[[#This Row],[KEYTIER2]]="EXT"),"",IF(Database[[#This Row],[SECTION NAME]]="","",Database[[#This Row],[SECTION NAME]]))</f>
        <v/>
      </c>
    </row>
    <row r="192" spans="2:37" ht="43.5" x14ac:dyDescent="0.35">
      <c r="B192" s="50" t="s">
        <v>71</v>
      </c>
      <c r="C192" s="50" t="s">
        <v>165</v>
      </c>
      <c r="D192" s="50" t="s">
        <v>73</v>
      </c>
      <c r="E192" s="50" t="s">
        <v>186</v>
      </c>
      <c r="F192" s="53"/>
      <c r="G192" s="72">
        <v>5602</v>
      </c>
      <c r="H192" s="53"/>
      <c r="I192" s="64"/>
      <c r="J192" s="52"/>
      <c r="K192" s="52"/>
      <c r="L192" s="52"/>
      <c r="M192" s="52"/>
      <c r="N192" s="54"/>
      <c r="O192" s="66"/>
      <c r="P192" s="51"/>
      <c r="Q192" s="51"/>
      <c r="R192" s="51"/>
      <c r="S192" s="51"/>
      <c r="T192" s="55"/>
      <c r="U192" s="69"/>
      <c r="V192" s="50"/>
      <c r="W192" s="50"/>
      <c r="X192" s="50"/>
      <c r="Y192" s="50"/>
      <c r="Z192" s="50"/>
      <c r="AA192" s="50"/>
      <c r="AB192" s="50"/>
      <c r="AC192" s="50">
        <f>IF(COUNTIF($C$3:C192,C192)=1,1,IF(COUNTIF($E$3:E192,E192)=1,2,0))</f>
        <v>0</v>
      </c>
      <c r="AD192" s="50">
        <f>IF(ISNUMBER(SEARCH("-",Database[[#This Row],[KEYNOTE '#]])),LEFT(Database[[#This Row],[KEYNOTE '#]],FIND("-",Database[[#This Row],[KEYNOTE '#]])-1),Database[[#This Row],[KEYNOTE '#]])</f>
        <v>5602</v>
      </c>
      <c r="AE19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2" s="50" t="str">
        <f>IF(AND(ISNUMBER(SEARCH("-",Database[[#This Row],[KEYNOTE '#]]))=TRUE,ISNUMBER(--RIGHT(Database[[#This Row],[KEYNOTE '#]]))=FALSE),RIGHT(Database[[#This Row],[KEYNOTE '#]],1),"")</f>
        <v/>
      </c>
      <c r="AG192" s="50">
        <v>190</v>
      </c>
      <c r="AH192" s="50" t="str">
        <f>IF(COUNTIF(Database[[#This Row],[BASE]:[INT. OTHER]],"g"),"INTERIOR",IF(COUNTIF(Database[[#This Row],[ROOF]:[EXT. OTHER]],"n"),"EXTERIOR",Database[[#This Row],[DIVISION '#]]))</f>
        <v>SYSTEM NOTES</v>
      </c>
      <c r="AI192" s="50" t="str">
        <f>IF(OR(Database[[#This Row],[KEYTIER1]]="INTERIOR",Database[[#This Row],[KEYTIER1]]="EXTERIOR"),"",Database[[#This Row],[DIVISION NAME]])</f>
        <v>BY CATEGORY</v>
      </c>
      <c r="AJ192" s="50" t="str">
        <f>IF(Database[[#This Row],[KEYTIER1]]="INTERIOR","INT",IF(Database[[#This Row],[KEYTIER1]]="EXTERIOR","EXT",Database[[#This Row],[SECTION '#]]))</f>
        <v>LIGHTING</v>
      </c>
      <c r="AK192" s="50" t="str">
        <f>IF(OR(Database[[#This Row],[KEYTIER2]]="INT",Database[[#This Row],[KEYTIER2]]="EXT"),"",IF(Database[[#This Row],[SECTION NAME]]="","",Database[[#This Row],[SECTION NAME]]))</f>
        <v/>
      </c>
    </row>
    <row r="193" spans="2:37" ht="43.5" x14ac:dyDescent="0.35">
      <c r="B193" s="50" t="s">
        <v>71</v>
      </c>
      <c r="C193" s="50" t="s">
        <v>165</v>
      </c>
      <c r="D193" s="50" t="s">
        <v>73</v>
      </c>
      <c r="E193" s="50" t="s">
        <v>186</v>
      </c>
      <c r="F193" s="53"/>
      <c r="G193" s="72">
        <v>5603</v>
      </c>
      <c r="H193" s="53"/>
      <c r="I193" s="64"/>
      <c r="J193" s="52"/>
      <c r="K193" s="52"/>
      <c r="L193" s="52"/>
      <c r="M193" s="52"/>
      <c r="N193" s="54"/>
      <c r="O193" s="66"/>
      <c r="P193" s="51"/>
      <c r="Q193" s="51"/>
      <c r="R193" s="51"/>
      <c r="S193" s="51"/>
      <c r="T193" s="55"/>
      <c r="U193" s="69"/>
      <c r="V193" s="50"/>
      <c r="W193" s="50"/>
      <c r="X193" s="50"/>
      <c r="Y193" s="50"/>
      <c r="Z193" s="50"/>
      <c r="AA193" s="50"/>
      <c r="AB193" s="50"/>
      <c r="AC193" s="50">
        <f>IF(COUNTIF($C$3:C193,C193)=1,1,IF(COUNTIF($E$3:E193,E193)=1,2,0))</f>
        <v>0</v>
      </c>
      <c r="AD193" s="50">
        <f>IF(ISNUMBER(SEARCH("-",Database[[#This Row],[KEYNOTE '#]])),LEFT(Database[[#This Row],[KEYNOTE '#]],FIND("-",Database[[#This Row],[KEYNOTE '#]])-1),Database[[#This Row],[KEYNOTE '#]])</f>
        <v>5603</v>
      </c>
      <c r="AE19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3" s="50" t="str">
        <f>IF(AND(ISNUMBER(SEARCH("-",Database[[#This Row],[KEYNOTE '#]]))=TRUE,ISNUMBER(--RIGHT(Database[[#This Row],[KEYNOTE '#]]))=FALSE),RIGHT(Database[[#This Row],[KEYNOTE '#]],1),"")</f>
        <v/>
      </c>
      <c r="AG193" s="50">
        <v>191</v>
      </c>
      <c r="AH193" s="50" t="str">
        <f>IF(COUNTIF(Database[[#This Row],[BASE]:[INT. OTHER]],"g"),"INTERIOR",IF(COUNTIF(Database[[#This Row],[ROOF]:[EXT. OTHER]],"n"),"EXTERIOR",Database[[#This Row],[DIVISION '#]]))</f>
        <v>SYSTEM NOTES</v>
      </c>
      <c r="AI193" s="50" t="str">
        <f>IF(OR(Database[[#This Row],[KEYTIER1]]="INTERIOR",Database[[#This Row],[KEYTIER1]]="EXTERIOR"),"",Database[[#This Row],[DIVISION NAME]])</f>
        <v>BY CATEGORY</v>
      </c>
      <c r="AJ193" s="50" t="str">
        <f>IF(Database[[#This Row],[KEYTIER1]]="INTERIOR","INT",IF(Database[[#This Row],[KEYTIER1]]="EXTERIOR","EXT",Database[[#This Row],[SECTION '#]]))</f>
        <v>LIGHTING</v>
      </c>
      <c r="AK193" s="50" t="str">
        <f>IF(OR(Database[[#This Row],[KEYTIER2]]="INT",Database[[#This Row],[KEYTIER2]]="EXT"),"",IF(Database[[#This Row],[SECTION NAME]]="","",Database[[#This Row],[SECTION NAME]]))</f>
        <v/>
      </c>
    </row>
    <row r="194" spans="2:37" ht="43.5" x14ac:dyDescent="0.35">
      <c r="B194" s="50" t="s">
        <v>71</v>
      </c>
      <c r="C194" s="50" t="s">
        <v>165</v>
      </c>
      <c r="D194" s="50" t="s">
        <v>73</v>
      </c>
      <c r="E194" s="50" t="s">
        <v>190</v>
      </c>
      <c r="F194" s="53"/>
      <c r="G194" s="72">
        <v>5701</v>
      </c>
      <c r="H194" s="53"/>
      <c r="I194" s="64"/>
      <c r="J194" s="52"/>
      <c r="K194" s="52"/>
      <c r="L194" s="52"/>
      <c r="M194" s="52"/>
      <c r="N194" s="54"/>
      <c r="O194" s="66"/>
      <c r="P194" s="51"/>
      <c r="Q194" s="51"/>
      <c r="R194" s="51"/>
      <c r="S194" s="51"/>
      <c r="T194" s="55"/>
      <c r="U194" s="69"/>
      <c r="V194" s="50"/>
      <c r="W194" s="50"/>
      <c r="X194" s="50"/>
      <c r="Y194" s="50"/>
      <c r="Z194" s="50"/>
      <c r="AA194" s="50"/>
      <c r="AB194" s="50"/>
      <c r="AC194" s="50">
        <f>IF(COUNTIF($C$3:C194,C194)=1,1,IF(COUNTIF($E$3:E194,E194)=1,2,0))</f>
        <v>2</v>
      </c>
      <c r="AD194" s="50">
        <f>IF(ISNUMBER(SEARCH("-",Database[[#This Row],[KEYNOTE '#]])),LEFT(Database[[#This Row],[KEYNOTE '#]],FIND("-",Database[[#This Row],[KEYNOTE '#]])-1),Database[[#This Row],[KEYNOTE '#]])</f>
        <v>5701</v>
      </c>
      <c r="AE19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4" s="50" t="str">
        <f>IF(AND(ISNUMBER(SEARCH("-",Database[[#This Row],[KEYNOTE '#]]))=TRUE,ISNUMBER(--RIGHT(Database[[#This Row],[KEYNOTE '#]]))=FALSE),RIGHT(Database[[#This Row],[KEYNOTE '#]],1),"")</f>
        <v/>
      </c>
      <c r="AG194" s="50">
        <v>192</v>
      </c>
      <c r="AH194" s="50" t="str">
        <f>IF(COUNTIF(Database[[#This Row],[BASE]:[INT. OTHER]],"g"),"INTERIOR",IF(COUNTIF(Database[[#This Row],[ROOF]:[EXT. OTHER]],"n"),"EXTERIOR",Database[[#This Row],[DIVISION '#]]))</f>
        <v>SYSTEM NOTES</v>
      </c>
      <c r="AI194" s="50" t="str">
        <f>IF(OR(Database[[#This Row],[KEYTIER1]]="INTERIOR",Database[[#This Row],[KEYTIER1]]="EXTERIOR"),"",Database[[#This Row],[DIVISION NAME]])</f>
        <v>BY CATEGORY</v>
      </c>
      <c r="AJ194" s="50" t="str">
        <f>IF(Database[[#This Row],[KEYTIER1]]="INTERIOR","INT",IF(Database[[#This Row],[KEYTIER1]]="EXTERIOR","EXT",Database[[#This Row],[SECTION '#]]))</f>
        <v>MECHANICAL</v>
      </c>
      <c r="AK194" s="50" t="str">
        <f>IF(OR(Database[[#This Row],[KEYTIER2]]="INT",Database[[#This Row],[KEYTIER2]]="EXT"),"",IF(Database[[#This Row],[SECTION NAME]]="","",Database[[#This Row],[SECTION NAME]]))</f>
        <v/>
      </c>
    </row>
    <row r="195" spans="2:37" ht="43.5" x14ac:dyDescent="0.35">
      <c r="B195" s="50" t="s">
        <v>71</v>
      </c>
      <c r="C195" s="50" t="s">
        <v>165</v>
      </c>
      <c r="D195" s="50" t="s">
        <v>73</v>
      </c>
      <c r="E195" s="50" t="s">
        <v>190</v>
      </c>
      <c r="F195" s="53"/>
      <c r="G195" s="72">
        <v>5702</v>
      </c>
      <c r="H195" s="53"/>
      <c r="I195" s="64"/>
      <c r="J195" s="52"/>
      <c r="K195" s="52"/>
      <c r="L195" s="52"/>
      <c r="M195" s="52"/>
      <c r="N195" s="54"/>
      <c r="O195" s="66"/>
      <c r="P195" s="51"/>
      <c r="Q195" s="51"/>
      <c r="R195" s="51"/>
      <c r="S195" s="51"/>
      <c r="T195" s="55"/>
      <c r="U195" s="69"/>
      <c r="V195" s="50"/>
      <c r="W195" s="50"/>
      <c r="X195" s="50"/>
      <c r="Y195" s="50"/>
      <c r="Z195" s="50"/>
      <c r="AA195" s="50"/>
      <c r="AB195" s="50"/>
      <c r="AC195" s="50">
        <f>IF(COUNTIF($C$3:C195,C195)=1,1,IF(COUNTIF($E$3:E195,E195)=1,2,0))</f>
        <v>0</v>
      </c>
      <c r="AD195" s="50">
        <f>IF(ISNUMBER(SEARCH("-",Database[[#This Row],[KEYNOTE '#]])),LEFT(Database[[#This Row],[KEYNOTE '#]],FIND("-",Database[[#This Row],[KEYNOTE '#]])-1),Database[[#This Row],[KEYNOTE '#]])</f>
        <v>5702</v>
      </c>
      <c r="AE19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5" s="50" t="str">
        <f>IF(AND(ISNUMBER(SEARCH("-",Database[[#This Row],[KEYNOTE '#]]))=TRUE,ISNUMBER(--RIGHT(Database[[#This Row],[KEYNOTE '#]]))=FALSE),RIGHT(Database[[#This Row],[KEYNOTE '#]],1),"")</f>
        <v/>
      </c>
      <c r="AG195" s="50">
        <v>193</v>
      </c>
      <c r="AH195" s="50" t="str">
        <f>IF(COUNTIF(Database[[#This Row],[BASE]:[INT. OTHER]],"g"),"INTERIOR",IF(COUNTIF(Database[[#This Row],[ROOF]:[EXT. OTHER]],"n"),"EXTERIOR",Database[[#This Row],[DIVISION '#]]))</f>
        <v>SYSTEM NOTES</v>
      </c>
      <c r="AI195" s="50" t="str">
        <f>IF(OR(Database[[#This Row],[KEYTIER1]]="INTERIOR",Database[[#This Row],[KEYTIER1]]="EXTERIOR"),"",Database[[#This Row],[DIVISION NAME]])</f>
        <v>BY CATEGORY</v>
      </c>
      <c r="AJ195" s="50" t="str">
        <f>IF(Database[[#This Row],[KEYTIER1]]="INTERIOR","INT",IF(Database[[#This Row],[KEYTIER1]]="EXTERIOR","EXT",Database[[#This Row],[SECTION '#]]))</f>
        <v>MECHANICAL</v>
      </c>
      <c r="AK195" s="50" t="str">
        <f>IF(OR(Database[[#This Row],[KEYTIER2]]="INT",Database[[#This Row],[KEYTIER2]]="EXT"),"",IF(Database[[#This Row],[SECTION NAME]]="","",Database[[#This Row],[SECTION NAME]]))</f>
        <v/>
      </c>
    </row>
    <row r="196" spans="2:37" ht="43.5" x14ac:dyDescent="0.35">
      <c r="B196" s="50" t="s">
        <v>71</v>
      </c>
      <c r="C196" s="50" t="s">
        <v>165</v>
      </c>
      <c r="D196" s="50" t="s">
        <v>73</v>
      </c>
      <c r="E196" s="50" t="s">
        <v>190</v>
      </c>
      <c r="F196" s="53"/>
      <c r="G196" s="72">
        <v>5703</v>
      </c>
      <c r="H196" s="53"/>
      <c r="I196" s="64"/>
      <c r="J196" s="52"/>
      <c r="K196" s="52"/>
      <c r="L196" s="52"/>
      <c r="M196" s="52"/>
      <c r="N196" s="54"/>
      <c r="O196" s="66"/>
      <c r="P196" s="51"/>
      <c r="Q196" s="51"/>
      <c r="R196" s="51"/>
      <c r="S196" s="51"/>
      <c r="T196" s="55"/>
      <c r="U196" s="69"/>
      <c r="V196" s="50"/>
      <c r="W196" s="50"/>
      <c r="X196" s="50"/>
      <c r="Y196" s="50"/>
      <c r="Z196" s="50"/>
      <c r="AA196" s="50"/>
      <c r="AB196" s="50"/>
      <c r="AC196" s="50">
        <f>IF(COUNTIF($C$3:C196,C196)=1,1,IF(COUNTIF($E$3:E196,E196)=1,2,0))</f>
        <v>0</v>
      </c>
      <c r="AD196" s="50">
        <f>IF(ISNUMBER(SEARCH("-",Database[[#This Row],[KEYNOTE '#]])),LEFT(Database[[#This Row],[KEYNOTE '#]],FIND("-",Database[[#This Row],[KEYNOTE '#]])-1),Database[[#This Row],[KEYNOTE '#]])</f>
        <v>5703</v>
      </c>
      <c r="AE196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6" s="50" t="str">
        <f>IF(AND(ISNUMBER(SEARCH("-",Database[[#This Row],[KEYNOTE '#]]))=TRUE,ISNUMBER(--RIGHT(Database[[#This Row],[KEYNOTE '#]]))=FALSE),RIGHT(Database[[#This Row],[KEYNOTE '#]],1),"")</f>
        <v/>
      </c>
      <c r="AG196" s="50">
        <v>194</v>
      </c>
      <c r="AH196" s="50" t="str">
        <f>IF(COUNTIF(Database[[#This Row],[BASE]:[INT. OTHER]],"g"),"INTERIOR",IF(COUNTIF(Database[[#This Row],[ROOF]:[EXT. OTHER]],"n"),"EXTERIOR",Database[[#This Row],[DIVISION '#]]))</f>
        <v>SYSTEM NOTES</v>
      </c>
      <c r="AI196" s="50" t="str">
        <f>IF(OR(Database[[#This Row],[KEYTIER1]]="INTERIOR",Database[[#This Row],[KEYTIER1]]="EXTERIOR"),"",Database[[#This Row],[DIVISION NAME]])</f>
        <v>BY CATEGORY</v>
      </c>
      <c r="AJ196" s="50" t="str">
        <f>IF(Database[[#This Row],[KEYTIER1]]="INTERIOR","INT",IF(Database[[#This Row],[KEYTIER1]]="EXTERIOR","EXT",Database[[#This Row],[SECTION '#]]))</f>
        <v>MECHANICAL</v>
      </c>
      <c r="AK196" s="50" t="str">
        <f>IF(OR(Database[[#This Row],[KEYTIER2]]="INT",Database[[#This Row],[KEYTIER2]]="EXT"),"",IF(Database[[#This Row],[SECTION NAME]]="","",Database[[#This Row],[SECTION NAME]]))</f>
        <v/>
      </c>
    </row>
    <row r="197" spans="2:37" ht="43.5" x14ac:dyDescent="0.35">
      <c r="B197" s="50" t="s">
        <v>71</v>
      </c>
      <c r="C197" s="50" t="s">
        <v>165</v>
      </c>
      <c r="D197" s="50" t="s">
        <v>73</v>
      </c>
      <c r="E197" s="50" t="s">
        <v>194</v>
      </c>
      <c r="F197" s="53"/>
      <c r="G197" s="72">
        <v>5704</v>
      </c>
      <c r="H197" s="53"/>
      <c r="I197" s="64"/>
      <c r="J197" s="52"/>
      <c r="K197" s="52"/>
      <c r="L197" s="52"/>
      <c r="M197" s="52"/>
      <c r="N197" s="54"/>
      <c r="O197" s="66"/>
      <c r="P197" s="51"/>
      <c r="Q197" s="51"/>
      <c r="R197" s="51"/>
      <c r="S197" s="51"/>
      <c r="T197" s="55"/>
      <c r="U197" s="69"/>
      <c r="V197" s="50"/>
      <c r="W197" s="50"/>
      <c r="X197" s="50"/>
      <c r="Y197" s="50"/>
      <c r="Z197" s="50"/>
      <c r="AA197" s="50"/>
      <c r="AB197" s="50"/>
      <c r="AC197" s="50">
        <f>IF(COUNTIF($C$3:C197,C197)=1,1,IF(COUNTIF($E$3:E197,E197)=1,2,0))</f>
        <v>2</v>
      </c>
      <c r="AD197" s="50">
        <f>IF(ISNUMBER(SEARCH("-",Database[[#This Row],[KEYNOTE '#]])),LEFT(Database[[#This Row],[KEYNOTE '#]],FIND("-",Database[[#This Row],[KEYNOTE '#]])-1),Database[[#This Row],[KEYNOTE '#]])</f>
        <v>5704</v>
      </c>
      <c r="AE197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7" s="50" t="str">
        <f>IF(AND(ISNUMBER(SEARCH("-",Database[[#This Row],[KEYNOTE '#]]))=TRUE,ISNUMBER(--RIGHT(Database[[#This Row],[KEYNOTE '#]]))=FALSE),RIGHT(Database[[#This Row],[KEYNOTE '#]],1),"")</f>
        <v/>
      </c>
      <c r="AG197" s="50">
        <v>195</v>
      </c>
      <c r="AH197" s="50" t="str">
        <f>IF(COUNTIF(Database[[#This Row],[BASE]:[INT. OTHER]],"g"),"INTERIOR",IF(COUNTIF(Database[[#This Row],[ROOF]:[EXT. OTHER]],"n"),"EXTERIOR",Database[[#This Row],[DIVISION '#]]))</f>
        <v>SYSTEM NOTES</v>
      </c>
      <c r="AI197" s="50" t="str">
        <f>IF(OR(Database[[#This Row],[KEYTIER1]]="INTERIOR",Database[[#This Row],[KEYTIER1]]="EXTERIOR"),"",Database[[#This Row],[DIVISION NAME]])</f>
        <v>BY CATEGORY</v>
      </c>
      <c r="AJ197" s="50" t="str">
        <f>IF(Database[[#This Row],[KEYTIER1]]="INTERIOR","INT",IF(Database[[#This Row],[KEYTIER1]]="EXTERIOR","EXT",Database[[#This Row],[SECTION '#]]))</f>
        <v>PLUMBING</v>
      </c>
      <c r="AK197" s="50" t="str">
        <f>IF(OR(Database[[#This Row],[KEYTIER2]]="INT",Database[[#This Row],[KEYTIER2]]="EXT"),"",IF(Database[[#This Row],[SECTION NAME]]="","",Database[[#This Row],[SECTION NAME]]))</f>
        <v/>
      </c>
    </row>
    <row r="198" spans="2:37" ht="43.5" x14ac:dyDescent="0.35">
      <c r="B198" s="50" t="s">
        <v>71</v>
      </c>
      <c r="C198" s="50" t="s">
        <v>165</v>
      </c>
      <c r="D198" s="50" t="s">
        <v>73</v>
      </c>
      <c r="E198" s="50" t="s">
        <v>194</v>
      </c>
      <c r="F198" s="53"/>
      <c r="G198" s="72">
        <v>5705</v>
      </c>
      <c r="H198" s="53"/>
      <c r="I198" s="64"/>
      <c r="J198" s="52"/>
      <c r="K198" s="52"/>
      <c r="L198" s="52"/>
      <c r="M198" s="52"/>
      <c r="N198" s="54"/>
      <c r="O198" s="66"/>
      <c r="P198" s="51"/>
      <c r="Q198" s="51"/>
      <c r="R198" s="51"/>
      <c r="S198" s="51"/>
      <c r="T198" s="55"/>
      <c r="U198" s="69"/>
      <c r="V198" s="50"/>
      <c r="W198" s="50"/>
      <c r="X198" s="50"/>
      <c r="Y198" s="50"/>
      <c r="Z198" s="50"/>
      <c r="AA198" s="50"/>
      <c r="AB198" s="50"/>
      <c r="AC198" s="50">
        <f>IF(COUNTIF($C$3:C198,C198)=1,1,IF(COUNTIF($E$3:E198,E198)=1,2,0))</f>
        <v>0</v>
      </c>
      <c r="AD198" s="50">
        <f>IF(ISNUMBER(SEARCH("-",Database[[#This Row],[KEYNOTE '#]])),LEFT(Database[[#This Row],[KEYNOTE '#]],FIND("-",Database[[#This Row],[KEYNOTE '#]])-1),Database[[#This Row],[KEYNOTE '#]])</f>
        <v>5705</v>
      </c>
      <c r="AE198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8" s="50" t="str">
        <f>IF(AND(ISNUMBER(SEARCH("-",Database[[#This Row],[KEYNOTE '#]]))=TRUE,ISNUMBER(--RIGHT(Database[[#This Row],[KEYNOTE '#]]))=FALSE),RIGHT(Database[[#This Row],[KEYNOTE '#]],1),"")</f>
        <v/>
      </c>
      <c r="AG198" s="50">
        <v>196</v>
      </c>
      <c r="AH198" s="50" t="str">
        <f>IF(COUNTIF(Database[[#This Row],[BASE]:[INT. OTHER]],"g"),"INTERIOR",IF(COUNTIF(Database[[#This Row],[ROOF]:[EXT. OTHER]],"n"),"EXTERIOR",Database[[#This Row],[DIVISION '#]]))</f>
        <v>SYSTEM NOTES</v>
      </c>
      <c r="AI198" s="50" t="str">
        <f>IF(OR(Database[[#This Row],[KEYTIER1]]="INTERIOR",Database[[#This Row],[KEYTIER1]]="EXTERIOR"),"",Database[[#This Row],[DIVISION NAME]])</f>
        <v>BY CATEGORY</v>
      </c>
      <c r="AJ198" s="50" t="str">
        <f>IF(Database[[#This Row],[KEYTIER1]]="INTERIOR","INT",IF(Database[[#This Row],[KEYTIER1]]="EXTERIOR","EXT",Database[[#This Row],[SECTION '#]]))</f>
        <v>PLUMBING</v>
      </c>
      <c r="AK198" s="50" t="str">
        <f>IF(OR(Database[[#This Row],[KEYTIER2]]="INT",Database[[#This Row],[KEYTIER2]]="EXT"),"",IF(Database[[#This Row],[SECTION NAME]]="","",Database[[#This Row],[SECTION NAME]]))</f>
        <v/>
      </c>
    </row>
    <row r="199" spans="2:37" ht="43.5" x14ac:dyDescent="0.35">
      <c r="B199" s="50" t="s">
        <v>71</v>
      </c>
      <c r="C199" s="50" t="s">
        <v>165</v>
      </c>
      <c r="D199" s="50" t="s">
        <v>73</v>
      </c>
      <c r="E199" s="50" t="s">
        <v>194</v>
      </c>
      <c r="F199" s="53"/>
      <c r="G199" s="72">
        <v>5706</v>
      </c>
      <c r="H199" s="53"/>
      <c r="I199" s="64"/>
      <c r="J199" s="52"/>
      <c r="K199" s="52"/>
      <c r="L199" s="52"/>
      <c r="M199" s="52"/>
      <c r="N199" s="54"/>
      <c r="O199" s="66"/>
      <c r="P199" s="51"/>
      <c r="Q199" s="51"/>
      <c r="R199" s="51"/>
      <c r="S199" s="51"/>
      <c r="T199" s="55"/>
      <c r="U199" s="69"/>
      <c r="V199" s="50"/>
      <c r="W199" s="50"/>
      <c r="X199" s="50"/>
      <c r="Y199" s="50"/>
      <c r="Z199" s="50"/>
      <c r="AA199" s="50"/>
      <c r="AB199" s="50"/>
      <c r="AC199" s="50">
        <f>IF(COUNTIF($C$3:C199,C199)=1,1,IF(COUNTIF($E$3:E199,E199)=1,2,0))</f>
        <v>0</v>
      </c>
      <c r="AD199" s="50">
        <f>IF(ISNUMBER(SEARCH("-",Database[[#This Row],[KEYNOTE '#]])),LEFT(Database[[#This Row],[KEYNOTE '#]],FIND("-",Database[[#This Row],[KEYNOTE '#]])-1),Database[[#This Row],[KEYNOTE '#]])</f>
        <v>5706</v>
      </c>
      <c r="AE199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9" s="50" t="str">
        <f>IF(AND(ISNUMBER(SEARCH("-",Database[[#This Row],[KEYNOTE '#]]))=TRUE,ISNUMBER(--RIGHT(Database[[#This Row],[KEYNOTE '#]]))=FALSE),RIGHT(Database[[#This Row],[KEYNOTE '#]],1),"")</f>
        <v/>
      </c>
      <c r="AG199" s="50">
        <v>197</v>
      </c>
      <c r="AH199" s="50" t="str">
        <f>IF(COUNTIF(Database[[#This Row],[BASE]:[INT. OTHER]],"g"),"INTERIOR",IF(COUNTIF(Database[[#This Row],[ROOF]:[EXT. OTHER]],"n"),"EXTERIOR",Database[[#This Row],[DIVISION '#]]))</f>
        <v>SYSTEM NOTES</v>
      </c>
      <c r="AI199" s="50" t="str">
        <f>IF(OR(Database[[#This Row],[KEYTIER1]]="INTERIOR",Database[[#This Row],[KEYTIER1]]="EXTERIOR"),"",Database[[#This Row],[DIVISION NAME]])</f>
        <v>BY CATEGORY</v>
      </c>
      <c r="AJ199" s="50" t="str">
        <f>IF(Database[[#This Row],[KEYTIER1]]="INTERIOR","INT",IF(Database[[#This Row],[KEYTIER1]]="EXTERIOR","EXT",Database[[#This Row],[SECTION '#]]))</f>
        <v>PLUMBING</v>
      </c>
      <c r="AK199" s="50" t="str">
        <f>IF(OR(Database[[#This Row],[KEYTIER2]]="INT",Database[[#This Row],[KEYTIER2]]="EXT"),"",IF(Database[[#This Row],[SECTION NAME]]="","",Database[[#This Row],[SECTION NAME]]))</f>
        <v/>
      </c>
    </row>
    <row r="200" spans="2:37" ht="43.5" x14ac:dyDescent="0.35">
      <c r="B200" s="50" t="s">
        <v>71</v>
      </c>
      <c r="C200" s="50" t="s">
        <v>165</v>
      </c>
      <c r="D200" s="50" t="s">
        <v>73</v>
      </c>
      <c r="E200" s="50" t="s">
        <v>198</v>
      </c>
      <c r="F200" s="53"/>
      <c r="G200" s="72">
        <v>7101</v>
      </c>
      <c r="H200" s="53"/>
      <c r="I200" s="64"/>
      <c r="J200" s="52"/>
      <c r="K200" s="52"/>
      <c r="L200" s="52"/>
      <c r="M200" s="52"/>
      <c r="N200" s="54"/>
      <c r="O200" s="66"/>
      <c r="P200" s="51"/>
      <c r="Q200" s="51"/>
      <c r="R200" s="51"/>
      <c r="S200" s="51"/>
      <c r="T200" s="55"/>
      <c r="U200" s="69"/>
      <c r="V200" s="50"/>
      <c r="W200" s="50"/>
      <c r="X200" s="50"/>
      <c r="Y200" s="50"/>
      <c r="Z200" s="50"/>
      <c r="AA200" s="50"/>
      <c r="AB200" s="50"/>
      <c r="AC200" s="50">
        <f>IF(COUNTIF($C$3:C200,C200)=1,1,IF(COUNTIF($E$3:E200,E200)=1,2,0))</f>
        <v>2</v>
      </c>
      <c r="AD200" s="50">
        <f>IF(ISNUMBER(SEARCH("-",Database[[#This Row],[KEYNOTE '#]])),LEFT(Database[[#This Row],[KEYNOTE '#]],FIND("-",Database[[#This Row],[KEYNOTE '#]])-1),Database[[#This Row],[KEYNOTE '#]])</f>
        <v>7101</v>
      </c>
      <c r="AE200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0" s="50" t="str">
        <f>IF(AND(ISNUMBER(SEARCH("-",Database[[#This Row],[KEYNOTE '#]]))=TRUE,ISNUMBER(--RIGHT(Database[[#This Row],[KEYNOTE '#]]))=FALSE),RIGHT(Database[[#This Row],[KEYNOTE '#]],1),"")</f>
        <v/>
      </c>
      <c r="AG200" s="50">
        <v>198</v>
      </c>
      <c r="AH200" s="50" t="str">
        <f>IF(COUNTIF(Database[[#This Row],[BASE]:[INT. OTHER]],"g"),"INTERIOR",IF(COUNTIF(Database[[#This Row],[ROOF]:[EXT. OTHER]],"n"),"EXTERIOR",Database[[#This Row],[DIVISION '#]]))</f>
        <v>SYSTEM NOTES</v>
      </c>
      <c r="AI200" s="50" t="str">
        <f>IF(OR(Database[[#This Row],[KEYTIER1]]="INTERIOR",Database[[#This Row],[KEYTIER1]]="EXTERIOR"),"",Database[[#This Row],[DIVISION NAME]])</f>
        <v>BY CATEGORY</v>
      </c>
      <c r="AJ200" s="50" t="str">
        <f>IF(Database[[#This Row],[KEYTIER1]]="INTERIOR","INT",IF(Database[[#This Row],[KEYTIER1]]="EXTERIOR","EXT",Database[[#This Row],[SECTION '#]]))</f>
        <v>STRUCTURAL</v>
      </c>
      <c r="AK200" s="50" t="str">
        <f>IF(OR(Database[[#This Row],[KEYTIER2]]="INT",Database[[#This Row],[KEYTIER2]]="EXT"),"",IF(Database[[#This Row],[SECTION NAME]]="","",Database[[#This Row],[SECTION NAME]]))</f>
        <v/>
      </c>
    </row>
    <row r="201" spans="2:37" ht="43.5" x14ac:dyDescent="0.35">
      <c r="B201" s="50" t="s">
        <v>71</v>
      </c>
      <c r="C201" s="50" t="s">
        <v>165</v>
      </c>
      <c r="D201" s="50" t="s">
        <v>73</v>
      </c>
      <c r="E201" s="50" t="s">
        <v>198</v>
      </c>
      <c r="F201" s="53"/>
      <c r="G201" s="72">
        <v>7102</v>
      </c>
      <c r="H201" s="53"/>
      <c r="I201" s="64"/>
      <c r="J201" s="52"/>
      <c r="K201" s="52"/>
      <c r="L201" s="52"/>
      <c r="M201" s="52"/>
      <c r="N201" s="54"/>
      <c r="O201" s="66"/>
      <c r="P201" s="51"/>
      <c r="Q201" s="51"/>
      <c r="R201" s="51"/>
      <c r="S201" s="51"/>
      <c r="T201" s="55"/>
      <c r="U201" s="69"/>
      <c r="V201" s="50"/>
      <c r="W201" s="50"/>
      <c r="X201" s="50"/>
      <c r="Y201" s="50"/>
      <c r="Z201" s="50"/>
      <c r="AA201" s="50"/>
      <c r="AB201" s="50"/>
      <c r="AC201" s="50">
        <f>IF(COUNTIF($C$3:C201,C201)=1,1,IF(COUNTIF($E$3:E201,E201)=1,2,0))</f>
        <v>0</v>
      </c>
      <c r="AD201" s="50">
        <f>IF(ISNUMBER(SEARCH("-",Database[[#This Row],[KEYNOTE '#]])),LEFT(Database[[#This Row],[KEYNOTE '#]],FIND("-",Database[[#This Row],[KEYNOTE '#]])-1),Database[[#This Row],[KEYNOTE '#]])</f>
        <v>7102</v>
      </c>
      <c r="AE201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1" s="50" t="str">
        <f>IF(AND(ISNUMBER(SEARCH("-",Database[[#This Row],[KEYNOTE '#]]))=TRUE,ISNUMBER(--RIGHT(Database[[#This Row],[KEYNOTE '#]]))=FALSE),RIGHT(Database[[#This Row],[KEYNOTE '#]],1),"")</f>
        <v/>
      </c>
      <c r="AG201" s="50">
        <v>199</v>
      </c>
      <c r="AH201" s="50" t="str">
        <f>IF(COUNTIF(Database[[#This Row],[BASE]:[INT. OTHER]],"g"),"INTERIOR",IF(COUNTIF(Database[[#This Row],[ROOF]:[EXT. OTHER]],"n"),"EXTERIOR",Database[[#This Row],[DIVISION '#]]))</f>
        <v>SYSTEM NOTES</v>
      </c>
      <c r="AI201" s="50" t="str">
        <f>IF(OR(Database[[#This Row],[KEYTIER1]]="INTERIOR",Database[[#This Row],[KEYTIER1]]="EXTERIOR"),"",Database[[#This Row],[DIVISION NAME]])</f>
        <v>BY CATEGORY</v>
      </c>
      <c r="AJ201" s="50" t="str">
        <f>IF(Database[[#This Row],[KEYTIER1]]="INTERIOR","INT",IF(Database[[#This Row],[KEYTIER1]]="EXTERIOR","EXT",Database[[#This Row],[SECTION '#]]))</f>
        <v>STRUCTURAL</v>
      </c>
      <c r="AK201" s="50" t="str">
        <f>IF(OR(Database[[#This Row],[KEYTIER2]]="INT",Database[[#This Row],[KEYTIER2]]="EXT"),"",IF(Database[[#This Row],[SECTION NAME]]="","",Database[[#This Row],[SECTION NAME]]))</f>
        <v/>
      </c>
    </row>
    <row r="202" spans="2:37" ht="43.5" x14ac:dyDescent="0.35">
      <c r="B202" s="50" t="s">
        <v>71</v>
      </c>
      <c r="C202" s="50" t="s">
        <v>165</v>
      </c>
      <c r="D202" s="50" t="s">
        <v>73</v>
      </c>
      <c r="E202" s="50" t="s">
        <v>198</v>
      </c>
      <c r="F202" s="53"/>
      <c r="G202" s="72">
        <v>7103</v>
      </c>
      <c r="H202" s="53"/>
      <c r="I202" s="64"/>
      <c r="J202" s="52"/>
      <c r="K202" s="52"/>
      <c r="L202" s="52"/>
      <c r="M202" s="52"/>
      <c r="N202" s="54"/>
      <c r="O202" s="66"/>
      <c r="P202" s="51"/>
      <c r="Q202" s="51"/>
      <c r="R202" s="51"/>
      <c r="S202" s="51"/>
      <c r="T202" s="55"/>
      <c r="U202" s="69"/>
      <c r="V202" s="50"/>
      <c r="W202" s="50"/>
      <c r="X202" s="50"/>
      <c r="Y202" s="50"/>
      <c r="Z202" s="50"/>
      <c r="AA202" s="50"/>
      <c r="AB202" s="50"/>
      <c r="AC202" s="50">
        <f>IF(COUNTIF($C$3:C202,C202)=1,1,IF(COUNTIF($E$3:E202,E202)=1,2,0))</f>
        <v>0</v>
      </c>
      <c r="AD202" s="50">
        <f>IF(ISNUMBER(SEARCH("-",Database[[#This Row],[KEYNOTE '#]])),LEFT(Database[[#This Row],[KEYNOTE '#]],FIND("-",Database[[#This Row],[KEYNOTE '#]])-1),Database[[#This Row],[KEYNOTE '#]])</f>
        <v>7103</v>
      </c>
      <c r="AE202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2" s="50" t="str">
        <f>IF(AND(ISNUMBER(SEARCH("-",Database[[#This Row],[KEYNOTE '#]]))=TRUE,ISNUMBER(--RIGHT(Database[[#This Row],[KEYNOTE '#]]))=FALSE),RIGHT(Database[[#This Row],[KEYNOTE '#]],1),"")</f>
        <v/>
      </c>
      <c r="AG202" s="50">
        <v>200</v>
      </c>
      <c r="AH202" s="50" t="str">
        <f>IF(COUNTIF(Database[[#This Row],[BASE]:[INT. OTHER]],"g"),"INTERIOR",IF(COUNTIF(Database[[#This Row],[ROOF]:[EXT. OTHER]],"n"),"EXTERIOR",Database[[#This Row],[DIVISION '#]]))</f>
        <v>SYSTEM NOTES</v>
      </c>
      <c r="AI202" s="50" t="str">
        <f>IF(OR(Database[[#This Row],[KEYTIER1]]="INTERIOR",Database[[#This Row],[KEYTIER1]]="EXTERIOR"),"",Database[[#This Row],[DIVISION NAME]])</f>
        <v>BY CATEGORY</v>
      </c>
      <c r="AJ202" s="50" t="str">
        <f>IF(Database[[#This Row],[KEYTIER1]]="INTERIOR","INT",IF(Database[[#This Row],[KEYTIER1]]="EXTERIOR","EXT",Database[[#This Row],[SECTION '#]]))</f>
        <v>STRUCTURAL</v>
      </c>
      <c r="AK202" s="50" t="str">
        <f>IF(OR(Database[[#This Row],[KEYTIER2]]="INT",Database[[#This Row],[KEYTIER2]]="EXT"),"",IF(Database[[#This Row],[SECTION NAME]]="","",Database[[#This Row],[SECTION NAME]]))</f>
        <v/>
      </c>
    </row>
    <row r="203" spans="2:37" ht="58" x14ac:dyDescent="0.35">
      <c r="B203" s="50" t="s">
        <v>202</v>
      </c>
      <c r="C203" s="50" t="s">
        <v>203</v>
      </c>
      <c r="D203" s="50" t="s">
        <v>204</v>
      </c>
      <c r="E203" s="50" t="s">
        <v>205</v>
      </c>
      <c r="F203" s="53" t="s">
        <v>206</v>
      </c>
      <c r="G203" s="72" t="s">
        <v>207</v>
      </c>
      <c r="H203" s="53" t="s">
        <v>208</v>
      </c>
      <c r="I203" s="64"/>
      <c r="J203" s="52"/>
      <c r="K203" s="52"/>
      <c r="L203" s="52"/>
      <c r="M203" s="52"/>
      <c r="N203" s="54"/>
      <c r="O203" s="66"/>
      <c r="P203" s="51"/>
      <c r="Q203" s="51"/>
      <c r="R203" s="51"/>
      <c r="S203" s="51"/>
      <c r="T203" s="55"/>
      <c r="U203" s="69"/>
      <c r="V203" s="50"/>
      <c r="W203" s="50"/>
      <c r="X203" s="50"/>
      <c r="Y203" s="50"/>
      <c r="Z203" s="50"/>
      <c r="AA203" s="50"/>
      <c r="AB203" s="50"/>
      <c r="AC203" s="50">
        <f>IF(COUNTIF($C$3:C203,C203)=1,1,IF(COUNTIF($E$3:E203,E203)=1,2,0))</f>
        <v>1</v>
      </c>
      <c r="AD203" s="50" t="str">
        <f>IF(ISNUMBER(SEARCH("-",Database[[#This Row],[KEYNOTE '#]])),LEFT(Database[[#This Row],[KEYNOTE '#]],FIND("-",Database[[#This Row],[KEYNOTE '#]])-1),Database[[#This Row],[KEYNOTE '#]])</f>
        <v>B2010.20</v>
      </c>
      <c r="AE203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3" s="50" t="str">
        <f>IF(AND(ISNUMBER(SEARCH("-",Database[[#This Row],[KEYNOTE '#]]))=TRUE,ISNUMBER(--RIGHT(Database[[#This Row],[KEYNOTE '#]]))=FALSE),RIGHT(Database[[#This Row],[KEYNOTE '#]],1),"")</f>
        <v/>
      </c>
      <c r="AG203" s="50">
        <v>201</v>
      </c>
      <c r="AH203" s="50" t="str">
        <f>IF(COUNTIF(Database[[#This Row],[BASE]:[INT. OTHER]],"g"),"INTERIOR",IF(COUNTIF(Database[[#This Row],[ROOF]:[EXT. OTHER]],"n"),"EXTERIOR",Database[[#This Row],[DIVISION '#]]))</f>
        <v>B</v>
      </c>
      <c r="AI203" s="50" t="str">
        <f>IF(OR(Database[[#This Row],[KEYTIER1]]="INTERIOR",Database[[#This Row],[KEYTIER1]]="EXTERIOR"),"",Database[[#This Row],[DIVISION NAME]])</f>
        <v>SHELL</v>
      </c>
      <c r="AJ203" s="50" t="str">
        <f>IF(Database[[#This Row],[KEYTIER1]]="INTERIOR","INT",IF(Database[[#This Row],[KEYTIER1]]="EXTERIOR","EXT",Database[[#This Row],[SECTION '#]]))</f>
        <v>B20</v>
      </c>
      <c r="AK203" s="50" t="str">
        <f>IF(OR(Database[[#This Row],[KEYTIER2]]="INT",Database[[#This Row],[KEYTIER2]]="EXT"),"",IF(Database[[#This Row],[SECTION NAME]]="","",Database[[#This Row],[SECTION NAME]]))</f>
        <v>Exterior Vertical Enclosures</v>
      </c>
    </row>
    <row r="204" spans="2:37" ht="58" x14ac:dyDescent="0.35">
      <c r="B204" s="50" t="s">
        <v>202</v>
      </c>
      <c r="C204" s="50" t="s">
        <v>203</v>
      </c>
      <c r="D204" s="50" t="s">
        <v>204</v>
      </c>
      <c r="E204" s="50" t="s">
        <v>205</v>
      </c>
      <c r="F204" s="53" t="s">
        <v>206</v>
      </c>
      <c r="G204" s="72" t="s">
        <v>209</v>
      </c>
      <c r="H204" s="53" t="s">
        <v>210</v>
      </c>
      <c r="I204" s="64"/>
      <c r="J204" s="52"/>
      <c r="K204" s="52"/>
      <c r="L204" s="52"/>
      <c r="M204" s="52"/>
      <c r="N204" s="54"/>
      <c r="O204" s="66"/>
      <c r="P204" s="51"/>
      <c r="Q204" s="51"/>
      <c r="R204" s="51"/>
      <c r="S204" s="51"/>
      <c r="T204" s="55"/>
      <c r="U204" s="69"/>
      <c r="V204" s="50"/>
      <c r="W204" s="50"/>
      <c r="X204" s="50"/>
      <c r="Y204" s="50"/>
      <c r="Z204" s="50"/>
      <c r="AA204" s="50"/>
      <c r="AB204" s="50"/>
      <c r="AC204" s="50">
        <f>IF(COUNTIF($C$3:C204,C204)=1,1,IF(COUNTIF($E$3:E204,E204)=1,2,0))</f>
        <v>0</v>
      </c>
      <c r="AD204" s="50" t="str">
        <f>IF(ISNUMBER(SEARCH("-",Database[[#This Row],[KEYNOTE '#]])),LEFT(Database[[#This Row],[KEYNOTE '#]],FIND("-",Database[[#This Row],[KEYNOTE '#]])-1),Database[[#This Row],[KEYNOTE '#]])</f>
        <v>B2020.30</v>
      </c>
      <c r="AE204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4" s="50" t="str">
        <f>IF(AND(ISNUMBER(SEARCH("-",Database[[#This Row],[KEYNOTE '#]]))=TRUE,ISNUMBER(--RIGHT(Database[[#This Row],[KEYNOTE '#]]))=FALSE),RIGHT(Database[[#This Row],[KEYNOTE '#]],1),"")</f>
        <v/>
      </c>
      <c r="AG204" s="50">
        <v>202</v>
      </c>
      <c r="AH204" s="50" t="str">
        <f>IF(COUNTIF(Database[[#This Row],[BASE]:[INT. OTHER]],"g"),"INTERIOR",IF(COUNTIF(Database[[#This Row],[ROOF]:[EXT. OTHER]],"n"),"EXTERIOR",Database[[#This Row],[DIVISION '#]]))</f>
        <v>B</v>
      </c>
      <c r="AI204" s="50" t="str">
        <f>IF(OR(Database[[#This Row],[KEYTIER1]]="INTERIOR",Database[[#This Row],[KEYTIER1]]="EXTERIOR"),"",Database[[#This Row],[DIVISION NAME]])</f>
        <v>SHELL</v>
      </c>
      <c r="AJ204" s="50" t="str">
        <f>IF(Database[[#This Row],[KEYTIER1]]="INTERIOR","INT",IF(Database[[#This Row],[KEYTIER1]]="EXTERIOR","EXT",Database[[#This Row],[SECTION '#]]))</f>
        <v>B20</v>
      </c>
      <c r="AK204" s="50" t="str">
        <f>IF(OR(Database[[#This Row],[KEYTIER2]]="INT",Database[[#This Row],[KEYTIER2]]="EXT"),"",IF(Database[[#This Row],[SECTION NAME]]="","",Database[[#This Row],[SECTION NAME]]))</f>
        <v>Exterior Vertical Enclosures</v>
      </c>
    </row>
    <row r="205" spans="2:37" ht="43.5" x14ac:dyDescent="0.35">
      <c r="B205" s="50" t="s">
        <v>202</v>
      </c>
      <c r="C205" s="50" t="s">
        <v>211</v>
      </c>
      <c r="D205" s="50" t="s">
        <v>212</v>
      </c>
      <c r="E205" s="50" t="s">
        <v>213</v>
      </c>
      <c r="F205" s="53" t="s">
        <v>214</v>
      </c>
      <c r="G205" s="72" t="s">
        <v>215</v>
      </c>
      <c r="H205" s="53" t="s">
        <v>216</v>
      </c>
      <c r="I205" s="64"/>
      <c r="J205" s="52"/>
      <c r="K205" s="52"/>
      <c r="L205" s="52"/>
      <c r="M205" s="52"/>
      <c r="N205" s="54"/>
      <c r="O205" s="66"/>
      <c r="P205" s="51"/>
      <c r="Q205" s="51"/>
      <c r="R205" s="51"/>
      <c r="S205" s="51"/>
      <c r="T205" s="55"/>
      <c r="U205" s="69"/>
      <c r="V205" s="50"/>
      <c r="W205" s="50"/>
      <c r="X205" s="50"/>
      <c r="Y205" s="50"/>
      <c r="Z205" s="50"/>
      <c r="AA205" s="50"/>
      <c r="AB205" s="50"/>
      <c r="AC205" s="50">
        <f>IF(COUNTIF($C$3:C205,C205)=1,1,IF(COUNTIF($E$3:E205,E205)=1,2,0))</f>
        <v>1</v>
      </c>
      <c r="AD205" s="50" t="str">
        <f>IF(ISNUMBER(SEARCH("-",Database[[#This Row],[KEYNOTE '#]])),LEFT(Database[[#This Row],[KEYNOTE '#]],FIND("-",Database[[#This Row],[KEYNOTE '#]])-1),Database[[#This Row],[KEYNOTE '#]])</f>
        <v>C1010.10</v>
      </c>
      <c r="AE205" s="50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5" s="50" t="str">
        <f>IF(AND(ISNUMBER(SEARCH("-",Database[[#This Row],[KEYNOTE '#]]))=TRUE,ISNUMBER(--RIGHT(Database[[#This Row],[KEYNOTE '#]]))=FALSE),RIGHT(Database[[#This Row],[KEYNOTE '#]],1),"")</f>
        <v/>
      </c>
      <c r="AG205" s="50">
        <v>203</v>
      </c>
      <c r="AH205" s="50" t="str">
        <f>IF(COUNTIF(Database[[#This Row],[BASE]:[INT. OTHER]],"g"),"INTERIOR",IF(COUNTIF(Database[[#This Row],[ROOF]:[EXT. OTHER]],"n"),"EXTERIOR",Database[[#This Row],[DIVISION '#]]))</f>
        <v>C</v>
      </c>
      <c r="AI205" s="50" t="str">
        <f>IF(OR(Database[[#This Row],[KEYTIER1]]="INTERIOR",Database[[#This Row],[KEYTIER1]]="EXTERIOR"),"",Database[[#This Row],[DIVISION NAME]])</f>
        <v>INTERIORS</v>
      </c>
      <c r="AJ205" s="50" t="str">
        <f>IF(Database[[#This Row],[KEYTIER1]]="INTERIOR","INT",IF(Database[[#This Row],[KEYTIER1]]="EXTERIOR","EXT",Database[[#This Row],[SECTION '#]]))</f>
        <v>C10</v>
      </c>
      <c r="AK205" s="50" t="str">
        <f>IF(OR(Database[[#This Row],[KEYTIER2]]="INT",Database[[#This Row],[KEYTIER2]]="EXT"),"",IF(Database[[#This Row],[SECTION NAME]]="","",Database[[#This Row],[SECTION NAME]]))</f>
        <v>Interior Construction</v>
      </c>
    </row>
  </sheetData>
  <autoFilter ref="A2:A205" xr:uid="{6ED78181-8A93-4C90-8774-65760B41B7CF}"/>
  <mergeCells count="2">
    <mergeCell ref="I1:N1"/>
    <mergeCell ref="O1:T1"/>
  </mergeCells>
  <phoneticPr fontId="10" type="noConversion"/>
  <conditionalFormatting sqref="G3:G205">
    <cfRule type="duplicateValues" dxfId="50" priority="1"/>
  </conditionalFormatting>
  <conditionalFormatting sqref="B3:AK205">
    <cfRule type="expression" dxfId="49" priority="2">
      <formula>$AC3=1</formula>
    </cfRule>
    <cfRule type="expression" dxfId="48" priority="3">
      <formula>$AC3=2</formula>
    </cfRule>
    <cfRule type="expression" dxfId="47" priority="4">
      <formula>AND(SUMPRODUCT(--($I3:$T3&lt;&gt;""))=0,$B3&lt;&gt;"NOTES")</formula>
    </cfRule>
  </conditionalFormatting>
  <conditionalFormatting sqref="I3:T205">
    <cfRule type="expression" dxfId="46" priority="5">
      <formula>$B3="NOTES"</formula>
    </cfRule>
  </conditionalFormatting>
  <pageMargins left="0.7" right="0.7" top="0.75" bottom="0.75" header="0.3" footer="0.3"/>
  <pageSetup paperSize="3" scale="8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8775-DFDC-49FB-BBDA-C651FC0CB3F4}">
  <sheetPr codeName="Sheet3"/>
  <dimension ref="A1:M98"/>
  <sheetViews>
    <sheetView showGridLines="0" zoomScale="70" zoomScaleNormal="70" workbookViewId="0">
      <selection activeCell="C32" sqref="C32"/>
    </sheetView>
  </sheetViews>
  <sheetFormatPr defaultColWidth="8.81640625" defaultRowHeight="14" x14ac:dyDescent="0.3"/>
  <cols>
    <col min="1" max="1" width="8.81640625" style="19"/>
    <col min="2" max="2" width="15" style="19" customWidth="1"/>
    <col min="3" max="3" width="52.6328125" style="19" customWidth="1"/>
    <col min="4" max="4" width="49.6328125" style="19" customWidth="1"/>
    <col min="5" max="5" width="43.453125" style="19" customWidth="1"/>
    <col min="6" max="6" width="38.81640625" style="19" customWidth="1"/>
    <col min="7" max="7" width="40" style="19" customWidth="1"/>
    <col min="8" max="8" width="42.36328125" style="19" customWidth="1"/>
    <col min="9" max="11" width="49.6328125" style="19" customWidth="1"/>
    <col min="12" max="12" width="99.6328125" style="19" customWidth="1"/>
    <col min="13" max="16384" width="8.81640625" style="19"/>
  </cols>
  <sheetData>
    <row r="1" spans="1:13" x14ac:dyDescent="0.3">
      <c r="B1" s="77" t="s">
        <v>217</v>
      </c>
      <c r="C1" s="77" t="s">
        <v>8</v>
      </c>
      <c r="D1" s="77" t="s">
        <v>218</v>
      </c>
      <c r="E1" s="77"/>
      <c r="F1" s="77" t="s">
        <v>219</v>
      </c>
      <c r="G1" s="77" t="s">
        <v>22</v>
      </c>
      <c r="H1" s="77" t="s">
        <v>23</v>
      </c>
      <c r="I1" s="77" t="s">
        <v>24</v>
      </c>
      <c r="J1" s="77" t="s">
        <v>25</v>
      </c>
      <c r="K1" s="77" t="s">
        <v>220</v>
      </c>
      <c r="L1" s="77" t="s">
        <v>26</v>
      </c>
      <c r="M1" s="20"/>
    </row>
    <row r="2" spans="1:13" x14ac:dyDescent="0.3">
      <c r="B2" s="78"/>
      <c r="C2" s="77"/>
      <c r="D2" s="62" t="s">
        <v>19</v>
      </c>
      <c r="E2" s="62" t="s">
        <v>20</v>
      </c>
      <c r="F2" s="77"/>
      <c r="G2" s="77"/>
      <c r="H2" s="77"/>
      <c r="I2" s="77"/>
      <c r="J2" s="77"/>
      <c r="K2" s="77"/>
      <c r="L2" s="77"/>
      <c r="M2" s="20"/>
    </row>
    <row r="3" spans="1:13" ht="15.5" x14ac:dyDescent="0.35">
      <c r="B3" s="21"/>
    </row>
    <row r="4" spans="1:13" ht="15.5" x14ac:dyDescent="0.35">
      <c r="A4" s="22"/>
      <c r="B4" s="23" t="s">
        <v>9</v>
      </c>
    </row>
    <row r="5" spans="1:13" s="59" customFormat="1" ht="20" customHeight="1" x14ac:dyDescent="0.35">
      <c r="A5" s="56"/>
      <c r="B5" s="57" t="s">
        <v>399</v>
      </c>
      <c r="C5" s="57" t="s">
        <v>400</v>
      </c>
      <c r="D5" s="57"/>
      <c r="E5" s="57"/>
      <c r="F5" s="57"/>
      <c r="G5" s="57"/>
      <c r="H5" s="57"/>
      <c r="I5" s="57"/>
      <c r="J5" s="57"/>
      <c r="K5" s="58">
        <v>96513</v>
      </c>
      <c r="L5" s="57"/>
    </row>
    <row r="6" spans="1:13" s="59" customFormat="1" ht="20" customHeight="1" x14ac:dyDescent="0.35">
      <c r="A6" s="56"/>
      <c r="B6" s="57" t="s">
        <v>310</v>
      </c>
      <c r="C6" s="57" t="s">
        <v>311</v>
      </c>
      <c r="D6" s="57"/>
      <c r="E6" s="57"/>
      <c r="F6" s="57"/>
      <c r="G6" s="57"/>
      <c r="H6" s="57"/>
      <c r="I6" s="57"/>
      <c r="J6" s="57"/>
      <c r="K6" s="58">
        <v>64023</v>
      </c>
      <c r="L6" s="57"/>
    </row>
    <row r="7" spans="1:13" s="59" customFormat="1" ht="20" customHeight="1" x14ac:dyDescent="0.35">
      <c r="A7" s="56"/>
    </row>
    <row r="8" spans="1:13" s="59" customFormat="1" ht="20" customHeight="1" x14ac:dyDescent="0.35">
      <c r="A8" s="56"/>
      <c r="B8" s="60" t="s">
        <v>225</v>
      </c>
    </row>
    <row r="9" spans="1:13" s="59" customFormat="1" ht="20" customHeight="1" x14ac:dyDescent="0.35">
      <c r="A9" s="56"/>
      <c r="B9" s="57" t="s">
        <v>422</v>
      </c>
      <c r="C9" s="57" t="s">
        <v>423</v>
      </c>
      <c r="D9" s="57"/>
      <c r="E9" s="57"/>
      <c r="F9" s="57"/>
      <c r="G9" s="57"/>
      <c r="H9" s="57"/>
      <c r="I9" s="57"/>
      <c r="J9" s="57"/>
      <c r="K9" s="58">
        <v>97723</v>
      </c>
      <c r="L9" s="57"/>
    </row>
    <row r="10" spans="1:13" s="59" customFormat="1" ht="20" customHeight="1" x14ac:dyDescent="0.35">
      <c r="A10" s="56"/>
      <c r="B10" s="57" t="s">
        <v>340</v>
      </c>
      <c r="C10" s="57" t="s">
        <v>341</v>
      </c>
      <c r="D10" s="57"/>
      <c r="E10" s="57"/>
      <c r="F10" s="57"/>
      <c r="G10" s="57"/>
      <c r="H10" s="57"/>
      <c r="I10" s="57"/>
      <c r="J10" s="57"/>
      <c r="K10" s="58">
        <v>88000</v>
      </c>
      <c r="L10" s="57"/>
    </row>
    <row r="11" spans="1:13" s="59" customFormat="1" ht="20" customHeight="1" x14ac:dyDescent="0.35">
      <c r="A11" s="56"/>
      <c r="B11" s="57" t="s">
        <v>342</v>
      </c>
      <c r="C11" s="57" t="s">
        <v>343</v>
      </c>
      <c r="D11" s="57"/>
      <c r="E11" s="57"/>
      <c r="F11" s="57"/>
      <c r="G11" s="57"/>
      <c r="H11" s="57"/>
      <c r="I11" s="57"/>
      <c r="J11" s="57"/>
      <c r="K11" s="58">
        <v>88000</v>
      </c>
      <c r="L11" s="57"/>
    </row>
    <row r="12" spans="1:13" s="59" customFormat="1" ht="20" customHeight="1" x14ac:dyDescent="0.35">
      <c r="A12" s="56"/>
      <c r="B12" s="57" t="s">
        <v>344</v>
      </c>
      <c r="C12" s="57" t="s">
        <v>345</v>
      </c>
      <c r="D12" s="57"/>
      <c r="E12" s="57"/>
      <c r="F12" s="57"/>
      <c r="G12" s="57"/>
      <c r="H12" s="57"/>
      <c r="I12" s="57"/>
      <c r="J12" s="57"/>
      <c r="K12" s="58">
        <v>88000</v>
      </c>
      <c r="L12" s="57"/>
    </row>
    <row r="13" spans="1:13" s="59" customFormat="1" ht="20" customHeight="1" x14ac:dyDescent="0.35">
      <c r="A13" s="56"/>
      <c r="B13" s="57" t="s">
        <v>346</v>
      </c>
      <c r="C13" s="57" t="s">
        <v>347</v>
      </c>
      <c r="D13" s="57"/>
      <c r="E13" s="57"/>
      <c r="F13" s="57"/>
      <c r="G13" s="57"/>
      <c r="H13" s="57"/>
      <c r="I13" s="57"/>
      <c r="J13" s="57"/>
      <c r="K13" s="58">
        <v>88000</v>
      </c>
      <c r="L13" s="57"/>
    </row>
    <row r="14" spans="1:13" s="59" customFormat="1" ht="20" customHeight="1" x14ac:dyDescent="0.35">
      <c r="A14" s="56"/>
      <c r="B14" s="57" t="s">
        <v>348</v>
      </c>
      <c r="C14" s="57" t="s">
        <v>349</v>
      </c>
      <c r="D14" s="57"/>
      <c r="E14" s="57"/>
      <c r="F14" s="57"/>
      <c r="G14" s="57"/>
      <c r="H14" s="57"/>
      <c r="I14" s="57"/>
      <c r="J14" s="57"/>
      <c r="K14" s="58">
        <v>88000</v>
      </c>
      <c r="L14" s="57"/>
    </row>
    <row r="15" spans="1:13" s="59" customFormat="1" ht="20" customHeight="1" x14ac:dyDescent="0.35">
      <c r="A15" s="56"/>
      <c r="B15" s="57" t="s">
        <v>350</v>
      </c>
      <c r="C15" s="57" t="s">
        <v>351</v>
      </c>
      <c r="D15" s="57"/>
      <c r="E15" s="57"/>
      <c r="F15" s="57"/>
      <c r="G15" s="57"/>
      <c r="H15" s="57"/>
      <c r="I15" s="57"/>
      <c r="J15" s="57"/>
      <c r="K15" s="58">
        <v>88000</v>
      </c>
      <c r="L15" s="57"/>
    </row>
    <row r="16" spans="1:13" s="59" customFormat="1" ht="20" customHeight="1" x14ac:dyDescent="0.35">
      <c r="A16" s="56"/>
      <c r="B16" s="57" t="s">
        <v>322</v>
      </c>
      <c r="C16" s="57" t="s">
        <v>323</v>
      </c>
      <c r="D16" s="57"/>
      <c r="E16" s="57"/>
      <c r="F16" s="57"/>
      <c r="G16" s="57"/>
      <c r="H16" s="57"/>
      <c r="I16" s="57"/>
      <c r="J16" s="57"/>
      <c r="K16" s="58">
        <v>66113</v>
      </c>
      <c r="L16" s="57"/>
    </row>
    <row r="17" spans="1:12" s="59" customFormat="1" ht="20" customHeight="1" x14ac:dyDescent="0.35">
      <c r="A17" s="56"/>
      <c r="B17" s="57" t="s">
        <v>431</v>
      </c>
      <c r="C17" s="57" t="s">
        <v>432</v>
      </c>
      <c r="D17" s="57"/>
      <c r="E17" s="57"/>
      <c r="F17" s="57"/>
      <c r="G17" s="57"/>
      <c r="H17" s="57"/>
      <c r="I17" s="57"/>
      <c r="J17" s="57"/>
      <c r="K17" s="58">
        <v>99100</v>
      </c>
      <c r="L17" s="57"/>
    </row>
    <row r="18" spans="1:12" s="59" customFormat="1" ht="20" customHeight="1" x14ac:dyDescent="0.35">
      <c r="A18" s="56"/>
      <c r="B18" s="57" t="s">
        <v>419</v>
      </c>
      <c r="C18" s="57" t="s">
        <v>420</v>
      </c>
      <c r="D18" s="57"/>
      <c r="E18" s="57"/>
      <c r="F18" s="57"/>
      <c r="G18" s="57"/>
      <c r="H18" s="57"/>
      <c r="I18" s="57"/>
      <c r="J18" s="57"/>
      <c r="K18" s="58">
        <v>97500</v>
      </c>
      <c r="L18" s="57"/>
    </row>
    <row r="19" spans="1:12" s="59" customFormat="1" ht="20" customHeight="1" x14ac:dyDescent="0.35">
      <c r="A19" s="56"/>
      <c r="B19" s="57" t="s">
        <v>368</v>
      </c>
      <c r="C19" s="57" t="s">
        <v>369</v>
      </c>
      <c r="D19" s="57"/>
      <c r="E19" s="57"/>
      <c r="F19" s="57"/>
      <c r="G19" s="57"/>
      <c r="H19" s="57"/>
      <c r="I19" s="57"/>
      <c r="J19" s="57"/>
      <c r="K19" s="58">
        <v>93000</v>
      </c>
      <c r="L19" s="57"/>
    </row>
    <row r="20" spans="1:12" s="59" customFormat="1" ht="20" customHeight="1" x14ac:dyDescent="0.35">
      <c r="A20" s="56"/>
      <c r="B20" s="57" t="s">
        <v>416</v>
      </c>
      <c r="C20" s="57" t="s">
        <v>417</v>
      </c>
      <c r="D20" s="57"/>
      <c r="E20" s="57"/>
      <c r="F20" s="57"/>
      <c r="G20" s="57"/>
      <c r="H20" s="57"/>
      <c r="I20" s="57"/>
      <c r="J20" s="57"/>
      <c r="K20" s="58">
        <v>97200</v>
      </c>
      <c r="L20" s="57"/>
    </row>
    <row r="21" spans="1:12" s="59" customFormat="1" ht="20" customHeight="1" x14ac:dyDescent="0.35">
      <c r="A21" s="56"/>
      <c r="B21" s="57" t="s">
        <v>316</v>
      </c>
      <c r="C21" s="57" t="s">
        <v>317</v>
      </c>
      <c r="D21" s="57"/>
      <c r="E21" s="57"/>
      <c r="F21" s="57"/>
      <c r="G21" s="57"/>
      <c r="H21" s="57"/>
      <c r="I21" s="57"/>
      <c r="J21" s="57"/>
      <c r="K21" s="58">
        <v>64200</v>
      </c>
      <c r="L21" s="57"/>
    </row>
    <row r="22" spans="1:12" s="59" customFormat="1" ht="20" customHeight="1" x14ac:dyDescent="0.35">
      <c r="A22" s="56"/>
    </row>
    <row r="23" spans="1:12" s="59" customFormat="1" ht="20" customHeight="1" x14ac:dyDescent="0.35">
      <c r="A23" s="56"/>
      <c r="B23" s="60" t="s">
        <v>11</v>
      </c>
    </row>
    <row r="24" spans="1:12" s="59" customFormat="1" ht="20" customHeight="1" x14ac:dyDescent="0.35">
      <c r="A24" s="56"/>
      <c r="B24" s="57" t="s">
        <v>373</v>
      </c>
      <c r="C24" s="57" t="s">
        <v>562</v>
      </c>
      <c r="D24" s="57"/>
      <c r="E24" s="57"/>
      <c r="F24" s="57"/>
      <c r="G24" s="57"/>
      <c r="H24" s="57"/>
      <c r="I24" s="57"/>
      <c r="J24" s="57"/>
      <c r="K24" s="58">
        <v>95113</v>
      </c>
      <c r="L24" s="57"/>
    </row>
    <row r="25" spans="1:12" s="59" customFormat="1" ht="20" customHeight="1" x14ac:dyDescent="0.35">
      <c r="A25" s="56"/>
      <c r="B25" s="57" t="s">
        <v>375</v>
      </c>
      <c r="C25" s="57" t="s">
        <v>376</v>
      </c>
      <c r="D25" s="57"/>
      <c r="E25" s="57"/>
      <c r="F25" s="57"/>
      <c r="G25" s="57"/>
      <c r="H25" s="57"/>
      <c r="I25" s="57"/>
      <c r="J25" s="57"/>
      <c r="K25" s="58">
        <v>95123</v>
      </c>
      <c r="L25" s="57"/>
    </row>
    <row r="26" spans="1:12" s="59" customFormat="1" ht="20" customHeight="1" x14ac:dyDescent="0.35">
      <c r="A26" s="56"/>
      <c r="B26" s="57" t="s">
        <v>534</v>
      </c>
      <c r="C26" s="57" t="s">
        <v>376</v>
      </c>
      <c r="D26" s="57"/>
      <c r="E26" s="57"/>
      <c r="F26" s="57"/>
      <c r="G26" s="57"/>
      <c r="H26" s="57"/>
      <c r="I26" s="57"/>
      <c r="J26" s="57"/>
      <c r="K26" s="58">
        <v>95123</v>
      </c>
      <c r="L26" s="57"/>
    </row>
    <row r="27" spans="1:12" s="59" customFormat="1" ht="20" customHeight="1" x14ac:dyDescent="0.35">
      <c r="A27" s="56"/>
      <c r="B27" s="57" t="s">
        <v>535</v>
      </c>
      <c r="C27" s="57" t="s">
        <v>376</v>
      </c>
      <c r="D27" s="57"/>
      <c r="E27" s="57"/>
      <c r="F27" s="57"/>
      <c r="G27" s="57"/>
      <c r="H27" s="57"/>
      <c r="I27" s="57"/>
      <c r="J27" s="57"/>
      <c r="K27" s="58">
        <v>95123</v>
      </c>
      <c r="L27" s="57"/>
    </row>
    <row r="28" spans="1:12" s="59" customFormat="1" ht="20" customHeight="1" x14ac:dyDescent="0.35">
      <c r="A28" s="56"/>
      <c r="B28" s="57" t="s">
        <v>425</v>
      </c>
      <c r="C28" s="57" t="s">
        <v>426</v>
      </c>
      <c r="D28" s="57"/>
      <c r="E28" s="57"/>
      <c r="F28" s="57"/>
      <c r="G28" s="57"/>
      <c r="H28" s="57"/>
      <c r="I28" s="57"/>
      <c r="J28" s="57"/>
      <c r="K28" s="58">
        <v>98000</v>
      </c>
      <c r="L28" s="57"/>
    </row>
    <row r="29" spans="1:12" s="59" customFormat="1" ht="20" customHeight="1" x14ac:dyDescent="0.35">
      <c r="A29" s="56"/>
      <c r="B29" s="57" t="s">
        <v>544</v>
      </c>
      <c r="C29" s="57" t="s">
        <v>545</v>
      </c>
      <c r="D29" s="57"/>
      <c r="E29" s="57"/>
      <c r="F29" s="57"/>
      <c r="G29" s="57"/>
      <c r="H29" s="57"/>
      <c r="I29" s="57"/>
      <c r="J29" s="57"/>
      <c r="K29" s="58">
        <v>95446</v>
      </c>
      <c r="L29" s="57"/>
    </row>
    <row r="30" spans="1:12" s="59" customFormat="1" ht="20" customHeight="1" x14ac:dyDescent="0.35">
      <c r="A30" s="56"/>
      <c r="B30" s="57" t="s">
        <v>550</v>
      </c>
      <c r="C30" s="57" t="s">
        <v>552</v>
      </c>
      <c r="D30" s="57"/>
      <c r="E30" s="57"/>
      <c r="F30" s="57"/>
      <c r="G30" s="57"/>
      <c r="H30" s="57"/>
      <c r="I30" s="57"/>
      <c r="J30" s="57"/>
      <c r="K30" s="58">
        <v>92900</v>
      </c>
      <c r="L30" s="57"/>
    </row>
    <row r="31" spans="1:12" s="59" customFormat="1" ht="20" customHeight="1" x14ac:dyDescent="0.35">
      <c r="A31" s="56"/>
      <c r="B31" s="57" t="s">
        <v>551</v>
      </c>
      <c r="C31" s="57" t="s">
        <v>553</v>
      </c>
      <c r="D31" s="57"/>
      <c r="E31" s="57"/>
      <c r="F31" s="57"/>
      <c r="G31" s="57"/>
      <c r="H31" s="57"/>
      <c r="I31" s="57"/>
      <c r="J31" s="57"/>
      <c r="K31" s="58">
        <v>92900</v>
      </c>
      <c r="L31" s="57"/>
    </row>
    <row r="32" spans="1:12" s="59" customFormat="1" ht="20" customHeight="1" x14ac:dyDescent="0.35">
      <c r="A32" s="56"/>
      <c r="B32" s="57" t="s">
        <v>546</v>
      </c>
      <c r="C32" s="57" t="s">
        <v>547</v>
      </c>
      <c r="D32" s="57"/>
      <c r="E32" s="57"/>
      <c r="F32" s="57"/>
      <c r="G32" s="57"/>
      <c r="H32" s="57"/>
      <c r="I32" s="57"/>
      <c r="J32" s="57"/>
      <c r="K32" s="58">
        <v>97700</v>
      </c>
      <c r="L32" s="57"/>
    </row>
    <row r="33" spans="1:12" s="59" customFormat="1" ht="20" customHeight="1" x14ac:dyDescent="0.35">
      <c r="A33" s="56"/>
      <c r="B33" s="57" t="s">
        <v>533</v>
      </c>
      <c r="C33" s="57" t="s">
        <v>540</v>
      </c>
      <c r="D33" s="57"/>
      <c r="E33" s="57"/>
      <c r="F33" s="57"/>
      <c r="G33" s="57"/>
      <c r="H33" s="57"/>
      <c r="I33" s="57"/>
      <c r="J33" s="57"/>
      <c r="K33" s="58">
        <v>92226</v>
      </c>
      <c r="L33" s="57"/>
    </row>
    <row r="34" spans="1:12" s="59" customFormat="1" ht="20" customHeight="1" x14ac:dyDescent="0.35">
      <c r="A34" s="56"/>
      <c r="B34" s="57" t="s">
        <v>543</v>
      </c>
      <c r="C34" s="57" t="s">
        <v>541</v>
      </c>
      <c r="D34" s="57"/>
      <c r="E34" s="57"/>
      <c r="F34" s="57"/>
      <c r="G34" s="57"/>
      <c r="H34" s="57"/>
      <c r="I34" s="57"/>
      <c r="J34" s="57"/>
      <c r="K34" s="58">
        <v>92226</v>
      </c>
      <c r="L34" s="57"/>
    </row>
    <row r="35" spans="1:12" s="59" customFormat="1" ht="20" customHeight="1" x14ac:dyDescent="0.35">
      <c r="A35" s="56"/>
      <c r="B35" s="57" t="s">
        <v>382</v>
      </c>
      <c r="C35" s="57" t="s">
        <v>383</v>
      </c>
      <c r="D35" s="57"/>
      <c r="E35" s="57"/>
      <c r="F35" s="57"/>
      <c r="G35" s="57"/>
      <c r="H35" s="57"/>
      <c r="I35" s="57"/>
      <c r="J35" s="57"/>
      <c r="K35" s="58">
        <v>95133</v>
      </c>
      <c r="L35" s="57"/>
    </row>
    <row r="36" spans="1:12" s="59" customFormat="1" ht="20" customHeight="1" x14ac:dyDescent="0.35">
      <c r="A36" s="56"/>
      <c r="B36" s="57" t="s">
        <v>555</v>
      </c>
      <c r="C36" s="57" t="s">
        <v>383</v>
      </c>
      <c r="D36" s="57"/>
      <c r="E36" s="57"/>
      <c r="F36" s="57"/>
      <c r="G36" s="57"/>
      <c r="H36" s="57"/>
      <c r="I36" s="57"/>
      <c r="J36" s="57"/>
      <c r="K36" s="58">
        <v>95133</v>
      </c>
      <c r="L36" s="57"/>
    </row>
    <row r="37" spans="1:12" s="59" customFormat="1" ht="20" customHeight="1" x14ac:dyDescent="0.35">
      <c r="A37" s="56"/>
      <c r="B37" s="57" t="s">
        <v>556</v>
      </c>
      <c r="C37" s="57" t="s">
        <v>383</v>
      </c>
      <c r="D37" s="57"/>
      <c r="E37" s="57"/>
      <c r="F37" s="57"/>
      <c r="G37" s="57"/>
      <c r="H37" s="57"/>
      <c r="I37" s="57"/>
      <c r="J37" s="57"/>
      <c r="K37" s="58">
        <v>95133</v>
      </c>
      <c r="L37" s="57"/>
    </row>
    <row r="38" spans="1:12" s="59" customFormat="1" ht="20" customHeight="1" x14ac:dyDescent="0.35">
      <c r="A38" s="56"/>
      <c r="B38" s="57" t="s">
        <v>384</v>
      </c>
      <c r="C38" s="57" t="s">
        <v>573</v>
      </c>
      <c r="D38" s="57"/>
      <c r="E38" s="57"/>
      <c r="F38" s="57"/>
      <c r="G38" s="57"/>
      <c r="H38" s="57"/>
      <c r="I38" s="57"/>
      <c r="J38" s="57"/>
      <c r="K38" s="58">
        <v>95133</v>
      </c>
      <c r="L38" s="57"/>
    </row>
    <row r="39" spans="1:12" s="59" customFormat="1" ht="20" customHeight="1" x14ac:dyDescent="0.35">
      <c r="A39" s="56"/>
      <c r="B39" s="57" t="s">
        <v>557</v>
      </c>
      <c r="C39" s="57" t="s">
        <v>573</v>
      </c>
      <c r="D39" s="57"/>
      <c r="E39" s="57"/>
      <c r="F39" s="57"/>
      <c r="G39" s="57"/>
      <c r="H39" s="57"/>
      <c r="I39" s="57"/>
      <c r="J39" s="57"/>
      <c r="K39" s="58">
        <v>95133</v>
      </c>
      <c r="L39" s="57"/>
    </row>
    <row r="40" spans="1:12" s="59" customFormat="1" ht="20" customHeight="1" x14ac:dyDescent="0.35">
      <c r="A40" s="56"/>
      <c r="B40" s="57" t="s">
        <v>558</v>
      </c>
      <c r="C40" s="57" t="s">
        <v>573</v>
      </c>
      <c r="D40" s="57"/>
      <c r="E40" s="57"/>
      <c r="F40" s="57"/>
      <c r="G40" s="57"/>
      <c r="H40" s="57"/>
      <c r="I40" s="57"/>
      <c r="J40" s="57"/>
      <c r="K40" s="58">
        <v>95133</v>
      </c>
      <c r="L40" s="57"/>
    </row>
    <row r="41" spans="1:12" s="59" customFormat="1" ht="20" customHeight="1" x14ac:dyDescent="0.35">
      <c r="A41" s="56"/>
      <c r="B41" s="57" t="s">
        <v>559</v>
      </c>
      <c r="C41" s="57" t="s">
        <v>574</v>
      </c>
      <c r="D41" s="57"/>
      <c r="E41" s="57"/>
      <c r="F41" s="57"/>
      <c r="G41" s="57"/>
      <c r="H41" s="57"/>
      <c r="I41" s="57"/>
      <c r="J41" s="57"/>
      <c r="K41" s="58">
        <v>95423</v>
      </c>
      <c r="L41" s="57"/>
    </row>
    <row r="42" spans="1:12" s="59" customFormat="1" ht="20" customHeight="1" x14ac:dyDescent="0.35">
      <c r="A42" s="56"/>
      <c r="B42" s="57" t="s">
        <v>560</v>
      </c>
      <c r="C42" s="57" t="s">
        <v>574</v>
      </c>
      <c r="D42" s="57"/>
      <c r="E42" s="57"/>
      <c r="F42" s="57"/>
      <c r="G42" s="57"/>
      <c r="H42" s="57"/>
      <c r="I42" s="57"/>
      <c r="J42" s="57"/>
      <c r="K42" s="58">
        <v>95423</v>
      </c>
      <c r="L42" s="57"/>
    </row>
    <row r="43" spans="1:12" s="59" customFormat="1" ht="20" customHeight="1" x14ac:dyDescent="0.35">
      <c r="A43" s="56"/>
      <c r="B43" s="57" t="s">
        <v>561</v>
      </c>
      <c r="C43" s="57" t="s">
        <v>574</v>
      </c>
      <c r="D43" s="57"/>
      <c r="E43" s="57"/>
      <c r="F43" s="57"/>
      <c r="G43" s="57"/>
      <c r="H43" s="57"/>
      <c r="I43" s="57"/>
      <c r="J43" s="57"/>
      <c r="K43" s="58">
        <v>95423</v>
      </c>
      <c r="L43" s="57"/>
    </row>
    <row r="44" spans="1:12" s="59" customFormat="1" ht="20" customHeight="1" x14ac:dyDescent="0.35">
      <c r="A44" s="56"/>
      <c r="B44" s="57" t="s">
        <v>566</v>
      </c>
      <c r="C44" s="57" t="s">
        <v>549</v>
      </c>
      <c r="D44" s="57"/>
      <c r="E44" s="57"/>
      <c r="F44" s="57"/>
      <c r="G44" s="57"/>
      <c r="H44" s="57"/>
      <c r="I44" s="57"/>
      <c r="J44" s="57"/>
      <c r="K44" s="58">
        <v>95436</v>
      </c>
      <c r="L44" s="57"/>
    </row>
    <row r="45" spans="1:12" s="59" customFormat="1" ht="20" customHeight="1" x14ac:dyDescent="0.35">
      <c r="A45" s="56"/>
      <c r="B45" s="57" t="s">
        <v>548</v>
      </c>
      <c r="C45" s="57" t="s">
        <v>549</v>
      </c>
      <c r="D45" s="57"/>
      <c r="E45" s="57"/>
      <c r="F45" s="57"/>
      <c r="G45" s="57"/>
      <c r="H45" s="57"/>
      <c r="I45" s="57"/>
      <c r="J45" s="57"/>
      <c r="K45" s="58">
        <v>95436</v>
      </c>
      <c r="L45" s="57"/>
    </row>
    <row r="46" spans="1:12" s="59" customFormat="1" ht="20" customHeight="1" x14ac:dyDescent="0.35">
      <c r="A46" s="56"/>
      <c r="B46" s="57" t="s">
        <v>554</v>
      </c>
      <c r="C46" s="57" t="s">
        <v>567</v>
      </c>
      <c r="D46" s="57"/>
      <c r="E46" s="57"/>
      <c r="F46" s="57"/>
      <c r="G46" s="57"/>
      <c r="H46" s="57"/>
      <c r="I46" s="57"/>
      <c r="J46" s="57"/>
      <c r="K46" s="58">
        <v>98316</v>
      </c>
      <c r="L46" s="57"/>
    </row>
    <row r="47" spans="1:12" s="59" customFormat="1" ht="20" customHeight="1" x14ac:dyDescent="0.35">
      <c r="A47" s="56"/>
      <c r="B47" s="57" t="s">
        <v>564</v>
      </c>
      <c r="C47" s="57" t="s">
        <v>565</v>
      </c>
      <c r="D47" s="57"/>
      <c r="E47" s="57"/>
      <c r="F47" s="57"/>
      <c r="G47" s="57"/>
      <c r="H47" s="57"/>
      <c r="I47" s="57"/>
      <c r="J47" s="57"/>
      <c r="K47" s="58">
        <v>92400</v>
      </c>
      <c r="L47" s="57"/>
    </row>
    <row r="48" spans="1:12" s="59" customFormat="1" ht="20" customHeight="1" x14ac:dyDescent="0.35">
      <c r="A48" s="56"/>
      <c r="B48" s="57" t="s">
        <v>377</v>
      </c>
      <c r="C48" s="57" t="s">
        <v>380</v>
      </c>
      <c r="D48" s="57"/>
      <c r="E48" s="57"/>
      <c r="F48" s="57"/>
      <c r="G48" s="57"/>
      <c r="H48" s="57"/>
      <c r="I48" s="57"/>
      <c r="J48" s="57"/>
      <c r="K48" s="58">
        <v>95426</v>
      </c>
      <c r="L48" s="57"/>
    </row>
    <row r="49" spans="1:12" s="59" customFormat="1" ht="20" customHeight="1" x14ac:dyDescent="0.35">
      <c r="A49" s="56"/>
      <c r="B49" s="57" t="s">
        <v>536</v>
      </c>
      <c r="C49" s="57" t="s">
        <v>380</v>
      </c>
      <c r="D49" s="57"/>
      <c r="E49" s="57"/>
      <c r="F49" s="57"/>
      <c r="G49" s="57"/>
      <c r="H49" s="57"/>
      <c r="I49" s="57"/>
      <c r="J49" s="57"/>
      <c r="K49" s="58">
        <v>95426</v>
      </c>
      <c r="L49" s="57"/>
    </row>
    <row r="50" spans="1:12" s="59" customFormat="1" ht="20" customHeight="1" x14ac:dyDescent="0.35">
      <c r="A50" s="56"/>
      <c r="B50" s="57" t="s">
        <v>537</v>
      </c>
      <c r="C50" s="57" t="s">
        <v>380</v>
      </c>
      <c r="D50" s="57"/>
      <c r="E50" s="57"/>
      <c r="F50" s="57"/>
      <c r="G50" s="57"/>
      <c r="H50" s="57"/>
      <c r="I50" s="57"/>
      <c r="J50" s="57"/>
      <c r="K50" s="58">
        <v>95426</v>
      </c>
      <c r="L50" s="57"/>
    </row>
    <row r="51" spans="1:12" s="59" customFormat="1" ht="20" customHeight="1" x14ac:dyDescent="0.35">
      <c r="A51" s="56"/>
      <c r="B51" s="57" t="s">
        <v>379</v>
      </c>
      <c r="C51" s="57" t="s">
        <v>378</v>
      </c>
      <c r="D51" s="57"/>
      <c r="E51" s="57"/>
      <c r="F51" s="57"/>
      <c r="G51" s="57"/>
      <c r="H51" s="57"/>
      <c r="I51" s="57"/>
      <c r="J51" s="57"/>
      <c r="K51" s="58">
        <v>95426</v>
      </c>
      <c r="L51" s="57"/>
    </row>
    <row r="52" spans="1:12" s="59" customFormat="1" ht="20" customHeight="1" x14ac:dyDescent="0.35">
      <c r="A52" s="56"/>
      <c r="B52" s="57" t="s">
        <v>538</v>
      </c>
      <c r="C52" s="57" t="s">
        <v>378</v>
      </c>
      <c r="D52" s="57"/>
      <c r="E52" s="57"/>
      <c r="F52" s="57"/>
      <c r="G52" s="57"/>
      <c r="H52" s="57"/>
      <c r="I52" s="57"/>
      <c r="J52" s="57"/>
      <c r="K52" s="58">
        <v>95426</v>
      </c>
      <c r="L52" s="57"/>
    </row>
    <row r="53" spans="1:12" s="59" customFormat="1" ht="20" customHeight="1" x14ac:dyDescent="0.35">
      <c r="A53" s="56"/>
      <c r="B53" s="57" t="s">
        <v>539</v>
      </c>
      <c r="C53" s="57" t="s">
        <v>378</v>
      </c>
      <c r="D53" s="57"/>
      <c r="E53" s="57"/>
      <c r="F53" s="57"/>
      <c r="G53" s="57"/>
      <c r="H53" s="57"/>
      <c r="I53" s="57"/>
      <c r="J53" s="57"/>
      <c r="K53" s="58">
        <v>95426</v>
      </c>
      <c r="L53" s="57"/>
    </row>
    <row r="54" spans="1:12" s="59" customFormat="1" ht="20" customHeight="1" x14ac:dyDescent="0.35">
      <c r="A54" s="56"/>
      <c r="B54" s="57" t="s">
        <v>428</v>
      </c>
      <c r="C54" s="57" t="s">
        <v>429</v>
      </c>
      <c r="D54" s="57"/>
      <c r="E54" s="57"/>
      <c r="F54" s="57"/>
      <c r="G54" s="57"/>
      <c r="H54" s="57"/>
      <c r="I54" s="57"/>
      <c r="J54" s="57"/>
      <c r="K54" s="58">
        <v>98443</v>
      </c>
      <c r="L54" s="57"/>
    </row>
    <row r="55" spans="1:12" s="59" customFormat="1" ht="20" customHeight="1" x14ac:dyDescent="0.35">
      <c r="A55" s="56"/>
    </row>
    <row r="56" spans="1:12" s="59" customFormat="1" ht="20" customHeight="1" x14ac:dyDescent="0.35">
      <c r="A56" s="56"/>
      <c r="B56" s="60" t="s">
        <v>12</v>
      </c>
    </row>
    <row r="57" spans="1:12" s="59" customFormat="1" ht="20" customHeight="1" x14ac:dyDescent="0.35">
      <c r="A57" s="56"/>
      <c r="B57" s="57" t="s">
        <v>268</v>
      </c>
      <c r="C57" s="57" t="s">
        <v>269</v>
      </c>
      <c r="D57" s="57"/>
      <c r="E57" s="57"/>
      <c r="F57" s="57"/>
      <c r="G57" s="57"/>
      <c r="H57" s="57"/>
      <c r="I57" s="57"/>
      <c r="J57" s="57"/>
      <c r="K57" s="58">
        <v>33300</v>
      </c>
      <c r="L57" s="57"/>
    </row>
    <row r="58" spans="1:12" s="59" customFormat="1" ht="20" customHeight="1" x14ac:dyDescent="0.35">
      <c r="A58" s="56"/>
      <c r="B58" s="57" t="s">
        <v>270</v>
      </c>
      <c r="C58" s="57" t="s">
        <v>271</v>
      </c>
      <c r="D58" s="57"/>
      <c r="E58" s="57"/>
      <c r="F58" s="57"/>
      <c r="G58" s="57"/>
      <c r="H58" s="57"/>
      <c r="I58" s="57"/>
      <c r="J58" s="57"/>
      <c r="K58" s="58">
        <v>33300</v>
      </c>
      <c r="L58" s="57"/>
    </row>
    <row r="59" spans="1:12" s="59" customFormat="1" ht="20" customHeight="1" x14ac:dyDescent="0.35">
      <c r="A59" s="56"/>
      <c r="B59" s="57" t="s">
        <v>410</v>
      </c>
      <c r="C59" s="57" t="s">
        <v>411</v>
      </c>
      <c r="D59" s="57"/>
      <c r="E59" s="57"/>
      <c r="F59" s="57"/>
      <c r="G59" s="57"/>
      <c r="H59" s="57"/>
      <c r="I59" s="57"/>
      <c r="J59" s="57"/>
      <c r="K59" s="58">
        <v>96813</v>
      </c>
      <c r="L59" s="57"/>
    </row>
    <row r="60" spans="1:12" s="59" customFormat="1" ht="20" customHeight="1" x14ac:dyDescent="0.35">
      <c r="A60" s="56"/>
      <c r="B60" s="57" t="s">
        <v>413</v>
      </c>
      <c r="C60" s="57" t="s">
        <v>414</v>
      </c>
      <c r="D60" s="57"/>
      <c r="E60" s="57"/>
      <c r="F60" s="57"/>
      <c r="G60" s="57"/>
      <c r="H60" s="57"/>
      <c r="I60" s="57"/>
      <c r="J60" s="57"/>
      <c r="K60" s="58">
        <v>96816</v>
      </c>
      <c r="L60" s="57"/>
    </row>
    <row r="61" spans="1:12" s="59" customFormat="1" ht="20" customHeight="1" x14ac:dyDescent="0.35">
      <c r="A61" s="56"/>
      <c r="B61" s="57" t="s">
        <v>396</v>
      </c>
      <c r="C61" s="57" t="s">
        <v>397</v>
      </c>
      <c r="D61" s="57"/>
      <c r="E61" s="57"/>
      <c r="F61" s="57"/>
      <c r="G61" s="57"/>
      <c r="H61" s="57"/>
      <c r="I61" s="57"/>
      <c r="J61" s="57"/>
      <c r="K61" s="58">
        <v>96500</v>
      </c>
      <c r="L61" s="57"/>
    </row>
    <row r="62" spans="1:12" s="59" customFormat="1" ht="20" customHeight="1" x14ac:dyDescent="0.35">
      <c r="A62" s="56"/>
      <c r="B62" s="57" t="s">
        <v>407</v>
      </c>
      <c r="C62" s="57" t="s">
        <v>408</v>
      </c>
      <c r="D62" s="57"/>
      <c r="E62" s="57"/>
      <c r="F62" s="57"/>
      <c r="G62" s="57"/>
      <c r="H62" s="57"/>
      <c r="I62" s="57"/>
      <c r="J62" s="57"/>
      <c r="K62" s="58">
        <v>96700</v>
      </c>
      <c r="L62" s="57"/>
    </row>
    <row r="63" spans="1:12" s="59" customFormat="1" ht="20" customHeight="1" x14ac:dyDescent="0.35">
      <c r="A63" s="56"/>
      <c r="B63" s="57" t="s">
        <v>386</v>
      </c>
      <c r="C63" s="57" t="s">
        <v>387</v>
      </c>
      <c r="D63" s="57"/>
      <c r="E63" s="57"/>
      <c r="F63" s="57"/>
      <c r="G63" s="57"/>
      <c r="H63" s="57"/>
      <c r="I63" s="57"/>
      <c r="J63" s="57"/>
      <c r="K63" s="58">
        <v>96340</v>
      </c>
      <c r="L63" s="57"/>
    </row>
    <row r="64" spans="1:12" s="59" customFormat="1" ht="20" customHeight="1" x14ac:dyDescent="0.35">
      <c r="A64" s="56"/>
      <c r="B64" s="57" t="s">
        <v>370</v>
      </c>
      <c r="C64" s="57" t="s">
        <v>371</v>
      </c>
      <c r="D64" s="57"/>
      <c r="E64" s="57"/>
      <c r="F64" s="57"/>
      <c r="G64" s="57"/>
      <c r="H64" s="57"/>
      <c r="I64" s="57"/>
      <c r="J64" s="57"/>
      <c r="K64" s="58">
        <v>93000</v>
      </c>
      <c r="L64" s="57"/>
    </row>
    <row r="65" spans="1:12" s="59" customFormat="1" ht="20" customHeight="1" x14ac:dyDescent="0.35">
      <c r="A65" s="56"/>
      <c r="B65" s="57" t="s">
        <v>402</v>
      </c>
      <c r="C65" s="57" t="s">
        <v>403</v>
      </c>
      <c r="D65" s="57"/>
      <c r="E65" s="57"/>
      <c r="F65" s="57"/>
      <c r="G65" s="57"/>
      <c r="H65" s="57"/>
      <c r="I65" s="57"/>
      <c r="J65" s="57"/>
      <c r="K65" s="58">
        <v>96600</v>
      </c>
      <c r="L65" s="57"/>
    </row>
    <row r="66" spans="1:12" s="59" customFormat="1" ht="20" customHeight="1" x14ac:dyDescent="0.35">
      <c r="A66" s="56"/>
      <c r="B66" s="57" t="s">
        <v>404</v>
      </c>
      <c r="C66" s="57" t="s">
        <v>405</v>
      </c>
      <c r="D66" s="57"/>
      <c r="E66" s="57"/>
      <c r="F66" s="57"/>
      <c r="G66" s="57"/>
      <c r="H66" s="57"/>
      <c r="I66" s="57"/>
      <c r="J66" s="57"/>
      <c r="K66" s="58">
        <v>96600</v>
      </c>
      <c r="L66" s="57"/>
    </row>
    <row r="67" spans="1:12" s="59" customFormat="1" ht="20" customHeight="1" x14ac:dyDescent="0.35">
      <c r="A67" s="56"/>
      <c r="B67" s="57" t="s">
        <v>391</v>
      </c>
      <c r="C67" s="57" t="s">
        <v>392</v>
      </c>
      <c r="D67" s="57"/>
      <c r="E67" s="57"/>
      <c r="F67" s="57"/>
      <c r="G67" s="57"/>
      <c r="H67" s="57"/>
      <c r="I67" s="57"/>
      <c r="J67" s="57"/>
      <c r="K67" s="58">
        <v>96400</v>
      </c>
      <c r="L67" s="57"/>
    </row>
    <row r="68" spans="1:12" s="59" customFormat="1" ht="20" customHeight="1" x14ac:dyDescent="0.35">
      <c r="A68" s="56"/>
      <c r="B68" s="57" t="s">
        <v>393</v>
      </c>
      <c r="C68" s="57" t="s">
        <v>394</v>
      </c>
      <c r="D68" s="57"/>
      <c r="E68" s="57"/>
      <c r="F68" s="57"/>
      <c r="G68" s="57"/>
      <c r="H68" s="57"/>
      <c r="I68" s="57"/>
      <c r="J68" s="57"/>
      <c r="K68" s="58">
        <v>96400</v>
      </c>
      <c r="L68" s="57"/>
    </row>
    <row r="69" spans="1:12" s="59" customFormat="1" ht="20" customHeight="1" x14ac:dyDescent="0.35">
      <c r="A69" s="56"/>
    </row>
    <row r="70" spans="1:12" s="59" customFormat="1" ht="20" customHeight="1" x14ac:dyDescent="0.35">
      <c r="A70" s="56"/>
      <c r="B70" s="60" t="s">
        <v>13</v>
      </c>
    </row>
    <row r="71" spans="1:12" s="59" customFormat="1" ht="20" customHeight="1" x14ac:dyDescent="0.35">
      <c r="A71" s="56"/>
      <c r="B71" s="57" t="s">
        <v>313</v>
      </c>
      <c r="C71" s="57" t="s">
        <v>314</v>
      </c>
      <c r="D71" s="57"/>
      <c r="E71" s="57"/>
      <c r="F71" s="57"/>
      <c r="G71" s="57"/>
      <c r="H71" s="57"/>
      <c r="I71" s="57"/>
      <c r="J71" s="57"/>
      <c r="K71" s="58">
        <v>64116</v>
      </c>
      <c r="L71" s="57"/>
    </row>
    <row r="72" spans="1:12" s="59" customFormat="1" ht="28" x14ac:dyDescent="0.35">
      <c r="A72" s="56"/>
      <c r="B72" s="24" t="s">
        <v>468</v>
      </c>
      <c r="C72" s="24" t="s">
        <v>469</v>
      </c>
      <c r="D72" s="24"/>
      <c r="E72" s="24"/>
      <c r="F72" s="24"/>
      <c r="G72" s="24"/>
      <c r="H72" s="24"/>
      <c r="I72" s="24"/>
      <c r="J72" s="24"/>
      <c r="K72" s="25">
        <v>123661</v>
      </c>
      <c r="L72" s="24"/>
    </row>
    <row r="73" spans="1:12" s="59" customFormat="1" ht="20" customHeight="1" x14ac:dyDescent="0.35">
      <c r="A73" s="56"/>
      <c r="B73" s="57" t="s">
        <v>465</v>
      </c>
      <c r="C73" s="57" t="s">
        <v>466</v>
      </c>
      <c r="D73" s="57"/>
      <c r="E73" s="57"/>
      <c r="F73" s="57"/>
      <c r="G73" s="57"/>
      <c r="H73" s="57"/>
      <c r="I73" s="57"/>
      <c r="J73" s="57"/>
      <c r="K73" s="58">
        <v>123640</v>
      </c>
      <c r="L73" s="57"/>
    </row>
    <row r="74" spans="1:12" s="59" customFormat="1" ht="20" customHeight="1" x14ac:dyDescent="0.35">
      <c r="A74" s="56"/>
      <c r="B74" s="57" t="s">
        <v>307</v>
      </c>
      <c r="C74" s="57" t="s">
        <v>308</v>
      </c>
      <c r="D74" s="57"/>
      <c r="E74" s="57"/>
      <c r="F74" s="57"/>
      <c r="G74" s="57"/>
      <c r="H74" s="57"/>
      <c r="I74" s="57"/>
      <c r="J74" s="57"/>
      <c r="K74" s="58">
        <v>64000</v>
      </c>
      <c r="L74" s="57"/>
    </row>
    <row r="75" spans="1:12" s="59" customFormat="1" ht="20" customHeight="1" x14ac:dyDescent="0.35">
      <c r="A75" s="56"/>
    </row>
    <row r="76" spans="1:12" s="59" customFormat="1" ht="20" customHeight="1" x14ac:dyDescent="0.35">
      <c r="A76" s="56"/>
      <c r="B76" s="60" t="s">
        <v>226</v>
      </c>
    </row>
    <row r="77" spans="1:12" s="59" customFormat="1" ht="20" customHeight="1" x14ac:dyDescent="0.35">
      <c r="A77" s="56"/>
      <c r="B77" s="57" t="s">
        <v>437</v>
      </c>
      <c r="C77" s="57" t="s">
        <v>438</v>
      </c>
      <c r="D77" s="57"/>
      <c r="E77" s="57"/>
      <c r="F77" s="57"/>
      <c r="G77" s="57"/>
      <c r="H77" s="57"/>
      <c r="I77" s="57"/>
      <c r="J77" s="57"/>
      <c r="K77" s="58">
        <v>99600</v>
      </c>
      <c r="L77" s="57"/>
    </row>
    <row r="78" spans="1:12" s="59" customFormat="1" ht="20" customHeight="1" x14ac:dyDescent="0.35">
      <c r="A78" s="56"/>
      <c r="B78" s="57" t="s">
        <v>295</v>
      </c>
      <c r="C78" s="57" t="s">
        <v>296</v>
      </c>
      <c r="D78" s="57"/>
      <c r="E78" s="57"/>
      <c r="F78" s="57"/>
      <c r="G78" s="57"/>
      <c r="H78" s="57"/>
      <c r="I78" s="57"/>
      <c r="J78" s="57"/>
      <c r="K78" s="58">
        <v>57000</v>
      </c>
      <c r="L78" s="57"/>
    </row>
    <row r="79" spans="1:12" s="59" customFormat="1" ht="20" customHeight="1" x14ac:dyDescent="0.35">
      <c r="A79" s="56"/>
      <c r="B79" s="57" t="s">
        <v>297</v>
      </c>
      <c r="C79" s="57" t="s">
        <v>298</v>
      </c>
      <c r="D79" s="57"/>
      <c r="E79" s="57"/>
      <c r="F79" s="57"/>
      <c r="G79" s="57"/>
      <c r="H79" s="57"/>
      <c r="I79" s="57"/>
      <c r="J79" s="57"/>
      <c r="K79" s="58">
        <v>57000</v>
      </c>
      <c r="L79" s="57"/>
    </row>
    <row r="80" spans="1:12" s="59" customFormat="1" ht="20" customHeight="1" x14ac:dyDescent="0.35">
      <c r="A80" s="56"/>
      <c r="B80" s="57" t="s">
        <v>299</v>
      </c>
      <c r="C80" s="57" t="s">
        <v>300</v>
      </c>
      <c r="D80" s="57"/>
      <c r="E80" s="57"/>
      <c r="F80" s="57"/>
      <c r="G80" s="57"/>
      <c r="H80" s="57"/>
      <c r="I80" s="57"/>
      <c r="J80" s="57"/>
      <c r="K80" s="58">
        <v>57000</v>
      </c>
      <c r="L80" s="57"/>
    </row>
    <row r="81" spans="1:12" s="59" customFormat="1" ht="20" customHeight="1" x14ac:dyDescent="0.35">
      <c r="A81" s="56"/>
      <c r="B81" s="57" t="s">
        <v>301</v>
      </c>
      <c r="C81" s="57" t="s">
        <v>302</v>
      </c>
      <c r="D81" s="57"/>
      <c r="E81" s="57"/>
      <c r="F81" s="57"/>
      <c r="G81" s="57"/>
      <c r="H81" s="57"/>
      <c r="I81" s="57"/>
      <c r="J81" s="57"/>
      <c r="K81" s="58">
        <v>57000</v>
      </c>
      <c r="L81" s="57"/>
    </row>
    <row r="82" spans="1:12" s="59" customFormat="1" ht="20" customHeight="1" x14ac:dyDescent="0.35">
      <c r="A82" s="56"/>
      <c r="B82" s="57" t="s">
        <v>434</v>
      </c>
      <c r="C82" s="57" t="s">
        <v>435</v>
      </c>
      <c r="D82" s="57"/>
      <c r="E82" s="57"/>
      <c r="F82" s="57"/>
      <c r="G82" s="57"/>
      <c r="H82" s="57"/>
      <c r="I82" s="57"/>
      <c r="J82" s="57"/>
      <c r="K82" s="58">
        <v>99300</v>
      </c>
      <c r="L82" s="57"/>
    </row>
    <row r="83" spans="1:12" x14ac:dyDescent="0.3">
      <c r="A83" s="22"/>
      <c r="B83" s="24" t="s">
        <v>388</v>
      </c>
      <c r="C83" s="24" t="s">
        <v>389</v>
      </c>
      <c r="D83" s="24"/>
      <c r="E83" s="24"/>
      <c r="F83" s="24"/>
      <c r="G83" s="24"/>
      <c r="H83" s="24"/>
      <c r="I83" s="24"/>
      <c r="J83" s="24"/>
      <c r="K83" s="25">
        <v>96340</v>
      </c>
      <c r="L83" s="24"/>
    </row>
    <row r="84" spans="1:12" x14ac:dyDescent="0.3">
      <c r="A84" s="22"/>
      <c r="B84" s="24" t="s">
        <v>319</v>
      </c>
      <c r="C84" s="24" t="s">
        <v>320</v>
      </c>
      <c r="D84" s="24"/>
      <c r="E84" s="24"/>
      <c r="F84" s="24"/>
      <c r="G84" s="24"/>
      <c r="H84" s="24"/>
      <c r="I84" s="24"/>
      <c r="J84" s="24"/>
      <c r="K84" s="25">
        <v>64313</v>
      </c>
      <c r="L84" s="24"/>
    </row>
    <row r="85" spans="1:12" x14ac:dyDescent="0.3">
      <c r="A85" s="22"/>
    </row>
    <row r="86" spans="1:12" x14ac:dyDescent="0.3">
      <c r="A86" s="22"/>
    </row>
    <row r="87" spans="1:12" x14ac:dyDescent="0.3">
      <c r="A87" s="22"/>
    </row>
    <row r="88" spans="1:12" x14ac:dyDescent="0.3">
      <c r="A88" s="22"/>
    </row>
    <row r="89" spans="1:12" x14ac:dyDescent="0.3">
      <c r="A89" s="22"/>
    </row>
    <row r="90" spans="1:12" x14ac:dyDescent="0.3">
      <c r="A90" s="22"/>
    </row>
    <row r="91" spans="1:12" x14ac:dyDescent="0.3">
      <c r="A91" s="22"/>
    </row>
    <row r="92" spans="1:12" x14ac:dyDescent="0.3">
      <c r="A92" s="22"/>
    </row>
    <row r="93" spans="1:12" x14ac:dyDescent="0.3">
      <c r="A93" s="22"/>
    </row>
    <row r="94" spans="1:12" x14ac:dyDescent="0.3">
      <c r="A94" s="22"/>
    </row>
    <row r="95" spans="1:12" x14ac:dyDescent="0.3">
      <c r="A95" s="22"/>
    </row>
    <row r="96" spans="1:12" x14ac:dyDescent="0.3">
      <c r="A96" s="22"/>
    </row>
    <row r="97" spans="1:1" x14ac:dyDescent="0.3">
      <c r="A97" s="22"/>
    </row>
    <row r="98" spans="1:1" x14ac:dyDescent="0.3">
      <c r="A98" s="22"/>
    </row>
  </sheetData>
  <mergeCells count="10">
    <mergeCell ref="I1:I2"/>
    <mergeCell ref="J1:J2"/>
    <mergeCell ref="K1:K2"/>
    <mergeCell ref="L1:L2"/>
    <mergeCell ref="B1:B2"/>
    <mergeCell ref="C1:C2"/>
    <mergeCell ref="D1:E1"/>
    <mergeCell ref="F1:F2"/>
    <mergeCell ref="G1:G2"/>
    <mergeCell ref="H1:H2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E5A17-CA69-4E1E-91FD-0955E1FE3647}">
  <sheetPr codeName="Sheet4"/>
  <dimension ref="B1:M36"/>
  <sheetViews>
    <sheetView showGridLines="0" zoomScale="55" zoomScaleNormal="55" workbookViewId="0">
      <selection activeCell="G53" sqref="G53"/>
    </sheetView>
  </sheetViews>
  <sheetFormatPr defaultColWidth="8.81640625" defaultRowHeight="14" x14ac:dyDescent="0.3"/>
  <cols>
    <col min="1" max="1" width="8.81640625" style="19"/>
    <col min="2" max="2" width="10.6328125" style="19" customWidth="1"/>
    <col min="3" max="11" width="49.6328125" style="19" customWidth="1"/>
    <col min="12" max="12" width="99.6328125" style="19" customWidth="1"/>
    <col min="13" max="16384" width="8.81640625" style="19"/>
  </cols>
  <sheetData>
    <row r="1" spans="2:13" x14ac:dyDescent="0.3">
      <c r="B1" s="77" t="s">
        <v>217</v>
      </c>
      <c r="C1" s="77" t="s">
        <v>8</v>
      </c>
      <c r="D1" s="77" t="s">
        <v>218</v>
      </c>
      <c r="E1" s="77"/>
      <c r="F1" s="77" t="s">
        <v>219</v>
      </c>
      <c r="G1" s="77" t="s">
        <v>22</v>
      </c>
      <c r="H1" s="77" t="s">
        <v>23</v>
      </c>
      <c r="I1" s="77" t="s">
        <v>24</v>
      </c>
      <c r="J1" s="77" t="s">
        <v>25</v>
      </c>
      <c r="K1" s="77" t="s">
        <v>220</v>
      </c>
      <c r="L1" s="77" t="s">
        <v>26</v>
      </c>
      <c r="M1" s="20"/>
    </row>
    <row r="2" spans="2:13" x14ac:dyDescent="0.3">
      <c r="B2" s="78"/>
      <c r="C2" s="77"/>
      <c r="D2" s="62" t="s">
        <v>19</v>
      </c>
      <c r="E2" s="62" t="s">
        <v>20</v>
      </c>
      <c r="F2" s="77"/>
      <c r="G2" s="77"/>
      <c r="H2" s="77"/>
      <c r="I2" s="77"/>
      <c r="J2" s="77"/>
      <c r="K2" s="77"/>
      <c r="L2" s="77"/>
      <c r="M2" s="20"/>
    </row>
    <row r="3" spans="2:13" ht="15.5" x14ac:dyDescent="0.35">
      <c r="B3" s="21"/>
    </row>
    <row r="4" spans="2:13" ht="15.5" x14ac:dyDescent="0.35">
      <c r="B4" s="23" t="s">
        <v>15</v>
      </c>
    </row>
    <row r="5" spans="2:13" s="59" customFormat="1" ht="20" customHeight="1" x14ac:dyDescent="0.35">
      <c r="B5" s="57" t="s">
        <v>60</v>
      </c>
      <c r="C5" s="57" t="s">
        <v>330</v>
      </c>
      <c r="D5" s="57"/>
      <c r="E5" s="57"/>
      <c r="F5" s="57"/>
      <c r="G5" s="57"/>
      <c r="H5" s="57"/>
      <c r="I5" s="57"/>
      <c r="J5" s="57"/>
      <c r="K5" s="58">
        <v>75210</v>
      </c>
      <c r="L5" s="57"/>
    </row>
    <row r="6" spans="2:13" s="59" customFormat="1" ht="20" customHeight="1" x14ac:dyDescent="0.35">
      <c r="B6" s="57" t="s">
        <v>61</v>
      </c>
      <c r="C6" s="57" t="s">
        <v>332</v>
      </c>
      <c r="D6" s="57"/>
      <c r="E6" s="57"/>
      <c r="F6" s="57"/>
      <c r="G6" s="57"/>
      <c r="H6" s="57"/>
      <c r="I6" s="57"/>
      <c r="J6" s="57"/>
      <c r="K6" s="58">
        <v>75323</v>
      </c>
      <c r="L6" s="57"/>
    </row>
    <row r="7" spans="2:13" s="59" customFormat="1" ht="20" customHeight="1" x14ac:dyDescent="0.35"/>
    <row r="8" spans="2:13" s="59" customFormat="1" ht="20" customHeight="1" x14ac:dyDescent="0.35">
      <c r="B8" s="60" t="s">
        <v>225</v>
      </c>
    </row>
    <row r="9" spans="2:13" s="59" customFormat="1" ht="20" customHeight="1" x14ac:dyDescent="0.35">
      <c r="B9" s="57" t="s">
        <v>45</v>
      </c>
      <c r="C9" s="57" t="s">
        <v>279</v>
      </c>
      <c r="D9" s="57"/>
      <c r="E9" s="57"/>
      <c r="F9" s="57"/>
      <c r="G9" s="57"/>
      <c r="H9" s="57"/>
      <c r="I9" s="57"/>
      <c r="J9" s="57"/>
      <c r="K9" s="58">
        <v>42100</v>
      </c>
      <c r="L9" s="57"/>
    </row>
    <row r="10" spans="2:13" s="59" customFormat="1" ht="20" customHeight="1" x14ac:dyDescent="0.35">
      <c r="B10" s="57" t="s">
        <v>46</v>
      </c>
      <c r="C10" s="57" t="s">
        <v>282</v>
      </c>
      <c r="D10" s="57"/>
      <c r="E10" s="57"/>
      <c r="F10" s="57"/>
      <c r="G10" s="57"/>
      <c r="H10" s="57"/>
      <c r="I10" s="57"/>
      <c r="J10" s="57"/>
      <c r="K10" s="58">
        <v>42200</v>
      </c>
      <c r="L10" s="57"/>
    </row>
    <row r="11" spans="2:13" s="59" customFormat="1" ht="20" customHeight="1" x14ac:dyDescent="0.35">
      <c r="B11" s="57" t="s">
        <v>48</v>
      </c>
      <c r="C11" s="57" t="s">
        <v>286</v>
      </c>
      <c r="D11" s="57"/>
      <c r="E11" s="57"/>
      <c r="F11" s="57"/>
      <c r="G11" s="57"/>
      <c r="H11" s="57"/>
      <c r="I11" s="57"/>
      <c r="J11" s="57"/>
      <c r="K11" s="58">
        <v>47200</v>
      </c>
      <c r="L11" s="57"/>
    </row>
    <row r="12" spans="2:13" s="59" customFormat="1" ht="20" customHeight="1" x14ac:dyDescent="0.35">
      <c r="B12" s="57" t="s">
        <v>43</v>
      </c>
      <c r="C12" s="57" t="s">
        <v>277</v>
      </c>
      <c r="D12" s="57"/>
      <c r="E12" s="57"/>
      <c r="F12" s="57"/>
      <c r="G12" s="57"/>
      <c r="H12" s="57"/>
      <c r="I12" s="57"/>
      <c r="J12" s="57"/>
      <c r="K12" s="58">
        <v>34900</v>
      </c>
      <c r="L12" s="57"/>
    </row>
    <row r="13" spans="2:13" s="59" customFormat="1" ht="20" customHeight="1" x14ac:dyDescent="0.35">
      <c r="B13" s="57" t="s">
        <v>42</v>
      </c>
      <c r="C13" s="57" t="s">
        <v>273</v>
      </c>
      <c r="D13" s="57"/>
      <c r="E13" s="57"/>
      <c r="F13" s="57"/>
      <c r="G13" s="57"/>
      <c r="H13" s="57"/>
      <c r="I13" s="57"/>
      <c r="J13" s="57"/>
      <c r="K13" s="58">
        <v>34000</v>
      </c>
      <c r="L13" s="57"/>
    </row>
    <row r="14" spans="2:13" s="59" customFormat="1" ht="20" customHeight="1" x14ac:dyDescent="0.35">
      <c r="B14" s="57" t="s">
        <v>47</v>
      </c>
      <c r="C14" s="57" t="s">
        <v>284</v>
      </c>
      <c r="D14" s="57"/>
      <c r="E14" s="57"/>
      <c r="F14" s="57"/>
      <c r="G14" s="57"/>
      <c r="H14" s="57"/>
      <c r="I14" s="57"/>
      <c r="J14" s="57"/>
      <c r="K14" s="58">
        <v>44200</v>
      </c>
      <c r="L14" s="57"/>
    </row>
    <row r="15" spans="2:13" s="59" customFormat="1" ht="20" customHeight="1" x14ac:dyDescent="0.35">
      <c r="B15" s="57" t="s">
        <v>59</v>
      </c>
      <c r="C15" s="57" t="s">
        <v>280</v>
      </c>
      <c r="D15" s="57"/>
      <c r="E15" s="57"/>
      <c r="F15" s="57"/>
      <c r="G15" s="57"/>
      <c r="H15" s="57"/>
      <c r="I15" s="57"/>
      <c r="J15" s="57"/>
      <c r="K15" s="58">
        <v>42100</v>
      </c>
      <c r="L15" s="57"/>
    </row>
    <row r="16" spans="2:13" s="59" customFormat="1" ht="20" customHeight="1" x14ac:dyDescent="0.35"/>
    <row r="17" spans="2:12" s="59" customFormat="1" ht="20" customHeight="1" x14ac:dyDescent="0.35">
      <c r="B17" s="60" t="s">
        <v>17</v>
      </c>
    </row>
    <row r="18" spans="2:12" s="59" customFormat="1" ht="20" customHeight="1" x14ac:dyDescent="0.35">
      <c r="B18" s="57" t="s">
        <v>64</v>
      </c>
      <c r="C18" s="57" t="s">
        <v>338</v>
      </c>
      <c r="D18" s="57"/>
      <c r="E18" s="57"/>
      <c r="F18" s="57"/>
      <c r="G18" s="57"/>
      <c r="H18" s="57"/>
      <c r="I18" s="57"/>
      <c r="J18" s="57"/>
      <c r="K18" s="58">
        <v>84400</v>
      </c>
      <c r="L18" s="57"/>
    </row>
    <row r="19" spans="2:12" s="59" customFormat="1" ht="20" customHeight="1" x14ac:dyDescent="0.35">
      <c r="B19" s="57" t="s">
        <v>65</v>
      </c>
      <c r="C19" s="57" t="s">
        <v>352</v>
      </c>
      <c r="D19" s="57"/>
      <c r="E19" s="57"/>
      <c r="F19" s="57"/>
      <c r="G19" s="57"/>
      <c r="H19" s="57"/>
      <c r="I19" s="57"/>
      <c r="J19" s="57"/>
      <c r="K19" s="58">
        <v>88000</v>
      </c>
      <c r="L19" s="57"/>
    </row>
    <row r="20" spans="2:12" s="59" customFormat="1" ht="20" customHeight="1" x14ac:dyDescent="0.35">
      <c r="B20" s="57" t="s">
        <v>353</v>
      </c>
      <c r="C20" s="57" t="s">
        <v>354</v>
      </c>
      <c r="D20" s="57"/>
      <c r="E20" s="57"/>
      <c r="F20" s="57"/>
      <c r="G20" s="57"/>
      <c r="H20" s="57"/>
      <c r="I20" s="57"/>
      <c r="J20" s="57"/>
      <c r="K20" s="58">
        <v>88000</v>
      </c>
      <c r="L20" s="57"/>
    </row>
    <row r="21" spans="2:12" s="59" customFormat="1" ht="20" customHeight="1" x14ac:dyDescent="0.35"/>
    <row r="22" spans="2:12" s="59" customFormat="1" ht="20" customHeight="1" x14ac:dyDescent="0.35">
      <c r="B22" s="60" t="s">
        <v>256</v>
      </c>
    </row>
    <row r="23" spans="2:12" s="59" customFormat="1" ht="20" customHeight="1" x14ac:dyDescent="0.35">
      <c r="B23" s="57" t="s">
        <v>68</v>
      </c>
      <c r="C23" s="57" t="s">
        <v>361</v>
      </c>
      <c r="D23" s="57"/>
      <c r="E23" s="57"/>
      <c r="F23" s="57"/>
      <c r="G23" s="57"/>
      <c r="H23" s="57"/>
      <c r="I23" s="57"/>
      <c r="J23" s="57"/>
      <c r="K23" s="58">
        <v>92400</v>
      </c>
      <c r="L23" s="57"/>
    </row>
    <row r="24" spans="2:12" s="59" customFormat="1" ht="20" customHeight="1" x14ac:dyDescent="0.35"/>
    <row r="25" spans="2:12" s="59" customFormat="1" ht="20" customHeight="1" x14ac:dyDescent="0.35">
      <c r="B25" s="60" t="s">
        <v>257</v>
      </c>
    </row>
    <row r="26" spans="2:12" s="59" customFormat="1" ht="20" customHeight="1" x14ac:dyDescent="0.35">
      <c r="B26" s="57" t="s">
        <v>274</v>
      </c>
      <c r="C26" s="57" t="s">
        <v>275</v>
      </c>
      <c r="D26" s="57"/>
      <c r="E26" s="57"/>
      <c r="F26" s="57"/>
      <c r="G26" s="57"/>
      <c r="H26" s="57"/>
      <c r="I26" s="57"/>
      <c r="J26" s="57"/>
      <c r="K26" s="58">
        <v>34000</v>
      </c>
      <c r="L26" s="57"/>
    </row>
    <row r="27" spans="2:12" s="59" customFormat="1" ht="20" customHeight="1" x14ac:dyDescent="0.35"/>
    <row r="28" spans="2:12" s="59" customFormat="1" ht="20" customHeight="1" x14ac:dyDescent="0.35">
      <c r="B28" s="60" t="s">
        <v>226</v>
      </c>
    </row>
    <row r="29" spans="2:12" s="59" customFormat="1" ht="20" customHeight="1" x14ac:dyDescent="0.35">
      <c r="B29" s="57" t="s">
        <v>39</v>
      </c>
      <c r="C29" s="57" t="s">
        <v>266</v>
      </c>
      <c r="D29" s="57"/>
      <c r="E29" s="57"/>
      <c r="F29" s="57"/>
      <c r="G29" s="57"/>
      <c r="H29" s="57"/>
      <c r="I29" s="57"/>
      <c r="J29" s="57"/>
      <c r="K29" s="58">
        <v>33100</v>
      </c>
      <c r="L29" s="57"/>
    </row>
    <row r="30" spans="2:12" s="59" customFormat="1" ht="20" customHeight="1" x14ac:dyDescent="0.35">
      <c r="B30" s="57" t="s">
        <v>471</v>
      </c>
      <c r="C30" s="57" t="s">
        <v>472</v>
      </c>
      <c r="D30" s="57"/>
      <c r="E30" s="57"/>
      <c r="F30" s="57"/>
      <c r="G30" s="57"/>
      <c r="H30" s="57"/>
      <c r="I30" s="57"/>
      <c r="J30" s="57"/>
      <c r="K30" s="58">
        <v>124813</v>
      </c>
      <c r="L30" s="57"/>
    </row>
    <row r="31" spans="2:12" s="59" customFormat="1" ht="20" customHeight="1" x14ac:dyDescent="0.35">
      <c r="B31" s="57" t="s">
        <v>52</v>
      </c>
      <c r="C31" s="57" t="s">
        <v>293</v>
      </c>
      <c r="D31" s="57"/>
      <c r="E31" s="57"/>
      <c r="F31" s="57"/>
      <c r="G31" s="57"/>
      <c r="H31" s="57"/>
      <c r="I31" s="57"/>
      <c r="J31" s="57"/>
      <c r="K31" s="58">
        <v>55300</v>
      </c>
      <c r="L31" s="57"/>
    </row>
    <row r="32" spans="2:12" s="59" customFormat="1" ht="20" customHeight="1" x14ac:dyDescent="0.35">
      <c r="B32" s="57" t="s">
        <v>66</v>
      </c>
      <c r="C32" s="57" t="s">
        <v>356</v>
      </c>
      <c r="D32" s="57"/>
      <c r="E32" s="57"/>
      <c r="F32" s="57"/>
      <c r="G32" s="57"/>
      <c r="H32" s="57"/>
      <c r="I32" s="57"/>
      <c r="J32" s="57"/>
      <c r="K32" s="58">
        <v>89000</v>
      </c>
      <c r="L32" s="57"/>
    </row>
    <row r="33" spans="2:12" s="59" customFormat="1" ht="20" customHeight="1" x14ac:dyDescent="0.35">
      <c r="B33" s="57" t="s">
        <v>53</v>
      </c>
      <c r="C33" s="57" t="s">
        <v>303</v>
      </c>
      <c r="D33" s="57"/>
      <c r="E33" s="57"/>
      <c r="F33" s="57"/>
      <c r="G33" s="57"/>
      <c r="H33" s="57"/>
      <c r="I33" s="57"/>
      <c r="J33" s="57"/>
      <c r="K33" s="58">
        <v>57000</v>
      </c>
      <c r="L33" s="57"/>
    </row>
    <row r="34" spans="2:12" s="59" customFormat="1" ht="20" customHeight="1" x14ac:dyDescent="0.35">
      <c r="B34" s="57" t="s">
        <v>51</v>
      </c>
      <c r="C34" s="57" t="s">
        <v>290</v>
      </c>
      <c r="D34" s="57"/>
      <c r="E34" s="57"/>
      <c r="F34" s="57"/>
      <c r="G34" s="57"/>
      <c r="H34" s="57"/>
      <c r="I34" s="57"/>
      <c r="J34" s="57"/>
      <c r="K34" s="58">
        <v>55200</v>
      </c>
      <c r="L34" s="57"/>
    </row>
    <row r="35" spans="2:12" x14ac:dyDescent="0.3">
      <c r="B35" s="24" t="s">
        <v>54</v>
      </c>
      <c r="C35" s="24" t="s">
        <v>291</v>
      </c>
      <c r="D35" s="24"/>
      <c r="E35" s="24"/>
      <c r="F35" s="24"/>
      <c r="G35" s="24"/>
      <c r="H35" s="24"/>
      <c r="I35" s="24"/>
      <c r="J35" s="24"/>
      <c r="K35" s="25">
        <v>55200</v>
      </c>
      <c r="L35" s="24"/>
    </row>
    <row r="36" spans="2:12" x14ac:dyDescent="0.3">
      <c r="B36" s="24" t="s">
        <v>55</v>
      </c>
      <c r="C36" s="24" t="s">
        <v>305</v>
      </c>
      <c r="D36" s="24"/>
      <c r="E36" s="24"/>
      <c r="F36" s="24"/>
      <c r="G36" s="24"/>
      <c r="H36" s="24"/>
      <c r="I36" s="24"/>
      <c r="J36" s="24"/>
      <c r="K36" s="25">
        <v>57300</v>
      </c>
      <c r="L36" s="24"/>
    </row>
  </sheetData>
  <mergeCells count="10">
    <mergeCell ref="I1:I2"/>
    <mergeCell ref="J1:J2"/>
    <mergeCell ref="K1:K2"/>
    <mergeCell ref="L1:L2"/>
    <mergeCell ref="B1:B2"/>
    <mergeCell ref="C1:C2"/>
    <mergeCell ref="D1:E1"/>
    <mergeCell ref="F1:F2"/>
    <mergeCell ref="G1:G2"/>
    <mergeCell ref="H1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49182-135A-4A90-963C-CCFC1379E300}">
  <sheetPr codeName="Sheet1"/>
  <dimension ref="A1:N23"/>
  <sheetViews>
    <sheetView workbookViewId="0">
      <selection activeCell="G25" sqref="G25"/>
    </sheetView>
  </sheetViews>
  <sheetFormatPr defaultRowHeight="14.5" x14ac:dyDescent="0.35"/>
  <cols>
    <col min="2" max="2" width="9.6328125" customWidth="1"/>
    <col min="3" max="3" width="12.6328125" customWidth="1"/>
    <col min="4" max="4" width="15.36328125" customWidth="1"/>
    <col min="10" max="10" width="21.453125" customWidth="1"/>
    <col min="11" max="11" width="20.6328125" customWidth="1"/>
    <col min="14" max="14" width="16" customWidth="1"/>
  </cols>
  <sheetData>
    <row r="1" spans="1:14" ht="15" thickBot="1" x14ac:dyDescent="0.4">
      <c r="A1" t="s">
        <v>264</v>
      </c>
    </row>
    <row r="2" spans="1:14" ht="15" thickTop="1" x14ac:dyDescent="0.35">
      <c r="B2" s="39" t="s">
        <v>227</v>
      </c>
      <c r="N2" s="32" t="s">
        <v>252</v>
      </c>
    </row>
    <row r="3" spans="1:14" x14ac:dyDescent="0.35">
      <c r="N3" s="33" t="b">
        <v>1</v>
      </c>
    </row>
    <row r="4" spans="1:14" ht="15" thickBot="1" x14ac:dyDescent="0.4">
      <c r="B4" t="s">
        <v>253</v>
      </c>
      <c r="N4" s="34" t="b">
        <v>0</v>
      </c>
    </row>
    <row r="5" spans="1:14" ht="15" thickTop="1" x14ac:dyDescent="0.35">
      <c r="B5" t="s">
        <v>254</v>
      </c>
    </row>
    <row r="6" spans="1:14" x14ac:dyDescent="0.35">
      <c r="B6" t="s">
        <v>255</v>
      </c>
    </row>
    <row r="7" spans="1:14" ht="44.25" customHeight="1" x14ac:dyDescent="0.35">
      <c r="B7" s="82" t="s">
        <v>259</v>
      </c>
      <c r="C7" s="82"/>
      <c r="D7" s="82"/>
      <c r="E7" s="82"/>
      <c r="F7" s="82"/>
      <c r="G7" s="82"/>
      <c r="H7" s="82"/>
      <c r="I7" s="82"/>
      <c r="J7" s="82"/>
      <c r="K7" s="82"/>
    </row>
    <row r="8" spans="1:14" ht="15" thickBot="1" x14ac:dyDescent="0.4"/>
    <row r="9" spans="1:14" ht="15.5" thickTop="1" thickBot="1" x14ac:dyDescent="0.4">
      <c r="B9" s="79" t="s">
        <v>221</v>
      </c>
      <c r="C9" s="80"/>
      <c r="D9" s="81"/>
      <c r="F9" s="18"/>
      <c r="G9" s="17"/>
      <c r="H9" s="17"/>
      <c r="J9" s="27" t="s">
        <v>246</v>
      </c>
      <c r="K9" s="26"/>
    </row>
    <row r="10" spans="1:14" x14ac:dyDescent="0.35">
      <c r="B10" s="8" t="s">
        <v>222</v>
      </c>
      <c r="C10" s="9" t="s">
        <v>223</v>
      </c>
      <c r="D10" s="10" t="s">
        <v>224</v>
      </c>
      <c r="F10" s="17"/>
      <c r="G10" s="17"/>
      <c r="H10" s="17"/>
      <c r="J10" s="30" t="s">
        <v>247</v>
      </c>
      <c r="K10" s="31" t="s">
        <v>251</v>
      </c>
    </row>
    <row r="11" spans="1:14" x14ac:dyDescent="0.35">
      <c r="B11" s="11">
        <v>1</v>
      </c>
      <c r="C11" s="12" t="s">
        <v>9</v>
      </c>
      <c r="D11" s="13" t="s">
        <v>15</v>
      </c>
      <c r="F11" s="17"/>
      <c r="G11" s="17"/>
      <c r="H11" s="17"/>
      <c r="J11" s="28" t="s">
        <v>248</v>
      </c>
      <c r="K11" s="29">
        <v>12</v>
      </c>
    </row>
    <row r="12" spans="1:14" x14ac:dyDescent="0.35">
      <c r="B12" s="11">
        <v>2</v>
      </c>
      <c r="C12" s="12" t="s">
        <v>225</v>
      </c>
      <c r="D12" s="13" t="s">
        <v>225</v>
      </c>
      <c r="F12" s="17"/>
      <c r="G12" s="17"/>
      <c r="H12" s="17"/>
      <c r="J12" s="28" t="s">
        <v>249</v>
      </c>
      <c r="K12" s="29" t="b">
        <v>1</v>
      </c>
    </row>
    <row r="13" spans="1:14" x14ac:dyDescent="0.35">
      <c r="B13" s="11">
        <v>3</v>
      </c>
      <c r="C13" s="12" t="s">
        <v>11</v>
      </c>
      <c r="D13" s="13" t="s">
        <v>17</v>
      </c>
      <c r="F13" s="17"/>
      <c r="G13" s="17"/>
      <c r="H13" s="17"/>
      <c r="J13" s="28" t="s">
        <v>250</v>
      </c>
      <c r="K13" s="29">
        <v>11</v>
      </c>
    </row>
    <row r="14" spans="1:14" ht="15" thickBot="1" x14ac:dyDescent="0.4">
      <c r="B14" s="11">
        <v>4</v>
      </c>
      <c r="C14" s="12" t="s">
        <v>12</v>
      </c>
      <c r="D14" s="35" t="s">
        <v>256</v>
      </c>
      <c r="F14" s="17"/>
      <c r="G14" s="17"/>
      <c r="H14" s="17"/>
      <c r="J14" s="37" t="s">
        <v>258</v>
      </c>
      <c r="K14" s="38">
        <v>20</v>
      </c>
    </row>
    <row r="15" spans="1:14" ht="15" thickTop="1" x14ac:dyDescent="0.35">
      <c r="B15" s="11">
        <v>5</v>
      </c>
      <c r="C15" s="12" t="s">
        <v>13</v>
      </c>
      <c r="D15" s="13" t="s">
        <v>257</v>
      </c>
      <c r="F15" s="17"/>
      <c r="G15" s="17"/>
      <c r="H15" s="17"/>
    </row>
    <row r="16" spans="1:14" ht="15" thickBot="1" x14ac:dyDescent="0.4">
      <c r="B16" s="11">
        <v>6</v>
      </c>
      <c r="C16" s="14" t="s">
        <v>226</v>
      </c>
      <c r="D16" s="13" t="s">
        <v>226</v>
      </c>
      <c r="F16" s="17"/>
      <c r="G16" s="17"/>
      <c r="H16" s="17"/>
    </row>
    <row r="17" spans="2:4" ht="15" thickTop="1" x14ac:dyDescent="0.35">
      <c r="B17" s="82" t="s">
        <v>245</v>
      </c>
      <c r="C17" s="82"/>
      <c r="D17" s="82"/>
    </row>
    <row r="18" spans="2:4" ht="27" customHeight="1" x14ac:dyDescent="0.35">
      <c r="B18" s="82"/>
      <c r="C18" s="82"/>
      <c r="D18" s="82"/>
    </row>
    <row r="19" spans="2:4" ht="15" thickBot="1" x14ac:dyDescent="0.4"/>
    <row r="20" spans="2:4" x14ac:dyDescent="0.35">
      <c r="B20" s="83" t="s">
        <v>260</v>
      </c>
      <c r="C20" s="84"/>
      <c r="D20" s="85"/>
    </row>
    <row r="21" spans="2:4" x14ac:dyDescent="0.35">
      <c r="B21" s="42" t="s">
        <v>262</v>
      </c>
      <c r="C21" s="43" t="s">
        <v>261</v>
      </c>
      <c r="D21" s="44" t="s">
        <v>263</v>
      </c>
    </row>
    <row r="22" spans="2:4" x14ac:dyDescent="0.35">
      <c r="B22" s="40" t="s">
        <v>223</v>
      </c>
      <c r="C22" s="45" t="s">
        <v>38</v>
      </c>
      <c r="D22" s="47" t="str">
        <f>C22</f>
        <v>g</v>
      </c>
    </row>
    <row r="23" spans="2:4" ht="15" thickBot="1" x14ac:dyDescent="0.4">
      <c r="B23" s="41" t="s">
        <v>224</v>
      </c>
      <c r="C23" s="46" t="s">
        <v>40</v>
      </c>
      <c r="D23" s="48" t="str">
        <f>C23</f>
        <v>n</v>
      </c>
    </row>
  </sheetData>
  <mergeCells count="4">
    <mergeCell ref="B9:D9"/>
    <mergeCell ref="B17:D18"/>
    <mergeCell ref="B7:K7"/>
    <mergeCell ref="B20:D20"/>
  </mergeCells>
  <dataValidations disablePrompts="1" count="1">
    <dataValidation type="list" allowBlank="1" showInputMessage="1" showErrorMessage="1" sqref="K12" xr:uid="{9435AFD9-D537-45C8-9819-ED2F0245B810}">
      <formula1>$N$3:$N$4</formula1>
    </dataValidation>
  </dataValidations>
  <hyperlinks>
    <hyperlink ref="B2" r:id="rId1" xr:uid="{B5655AC5-CAE5-47A7-A6A1-2D5590D5EE9D}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Database.ResetDatabase">
                <anchor moveWithCells="1" sizeWithCells="1">
                  <from>
                    <xdr:col>5</xdr:col>
                    <xdr:colOff>254000</xdr:colOff>
                    <xdr:row>9</xdr:row>
                    <xdr:rowOff>50800</xdr:rowOff>
                  </from>
                  <to>
                    <xdr:col>7</xdr:col>
                    <xdr:colOff>292100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pdateIndices.UpdateIndices">
                <anchor moveWithCells="1" sizeWithCells="1">
                  <from>
                    <xdr:col>5</xdr:col>
                    <xdr:colOff>241300</xdr:colOff>
                    <xdr:row>11</xdr:row>
                    <xdr:rowOff>127000</xdr:rowOff>
                  </from>
                  <to>
                    <xdr:col>7</xdr:col>
                    <xdr:colOff>260350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ExportText">
                <anchor moveWithCells="1" sizeWithCells="1">
                  <from>
                    <xdr:col>5</xdr:col>
                    <xdr:colOff>254000</xdr:colOff>
                    <xdr:row>13</xdr:row>
                    <xdr:rowOff>177800</xdr:rowOff>
                  </from>
                  <to>
                    <xdr:col>7</xdr:col>
                    <xdr:colOff>254000</xdr:colOff>
                    <xdr:row>15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16C0A-49DA-41EB-9B6F-53B0AF633D48}">
  <sheetPr codeName="Sheet5"/>
  <dimension ref="A1:C703"/>
  <sheetViews>
    <sheetView topLeftCell="A139" workbookViewId="0">
      <selection activeCell="D7" sqref="D7"/>
    </sheetView>
  </sheetViews>
  <sheetFormatPr defaultRowHeight="14.5" x14ac:dyDescent="0.35"/>
  <cols>
    <col min="1" max="1" width="21.81640625" bestFit="1" customWidth="1"/>
    <col min="2" max="2" width="53.36328125" bestFit="1" customWidth="1"/>
    <col min="3" max="3" width="13.54296875" bestFit="1" customWidth="1"/>
    <col min="4" max="4" width="70.6328125" bestFit="1" customWidth="1"/>
  </cols>
  <sheetData>
    <row r="1" spans="1:2" x14ac:dyDescent="0.35">
      <c r="B1" t="s">
        <v>231</v>
      </c>
    </row>
    <row r="2" spans="1:2" x14ac:dyDescent="0.35">
      <c r="A2" s="15" t="s">
        <v>527</v>
      </c>
      <c r="B2" s="16" t="s">
        <v>69</v>
      </c>
    </row>
    <row r="3" spans="1:2" x14ac:dyDescent="0.35">
      <c r="A3" s="15" t="s">
        <v>528</v>
      </c>
      <c r="B3" s="16" t="s">
        <v>70</v>
      </c>
    </row>
    <row r="4" spans="1:2" x14ac:dyDescent="0.35">
      <c r="A4" s="15" t="s">
        <v>529</v>
      </c>
      <c r="B4" s="16" t="s">
        <v>37</v>
      </c>
    </row>
    <row r="5" spans="1:2" x14ac:dyDescent="0.35">
      <c r="A5" s="15" t="s">
        <v>530</v>
      </c>
      <c r="B5" s="16" t="s">
        <v>49</v>
      </c>
    </row>
    <row r="6" spans="1:2" x14ac:dyDescent="0.35">
      <c r="A6" s="15" t="s">
        <v>531</v>
      </c>
      <c r="B6" s="16" t="s">
        <v>57</v>
      </c>
    </row>
    <row r="7" spans="1:2" x14ac:dyDescent="0.35">
      <c r="A7" s="15" t="s">
        <v>532</v>
      </c>
      <c r="B7" s="16" t="s">
        <v>67</v>
      </c>
    </row>
    <row r="8" spans="1:2" ht="1.25" customHeight="1" x14ac:dyDescent="0.35">
      <c r="A8" s="15" t="s">
        <v>72</v>
      </c>
      <c r="B8" s="16" t="s">
        <v>73</v>
      </c>
    </row>
    <row r="9" spans="1:2" ht="1.25" customHeight="1" x14ac:dyDescent="0.35">
      <c r="A9" s="15" t="s">
        <v>203</v>
      </c>
      <c r="B9" s="16" t="s">
        <v>204</v>
      </c>
    </row>
    <row r="10" spans="1:2" ht="1.25" customHeight="1" x14ac:dyDescent="0.35">
      <c r="A10" s="15" t="s">
        <v>211</v>
      </c>
      <c r="B10" s="16" t="s">
        <v>212</v>
      </c>
    </row>
    <row r="11" spans="1:2" ht="1.25" customHeight="1" x14ac:dyDescent="0.35">
      <c r="A11" s="15" t="s">
        <v>228</v>
      </c>
      <c r="B11" s="16"/>
    </row>
    <row r="12" spans="1:2" ht="1.25" customHeight="1" x14ac:dyDescent="0.35">
      <c r="A12" s="15" t="s">
        <v>229</v>
      </c>
      <c r="B12" s="16"/>
    </row>
    <row r="13" spans="1:2" ht="1.25" customHeight="1" x14ac:dyDescent="0.35">
      <c r="A13" s="15" t="s">
        <v>165</v>
      </c>
      <c r="B13" s="16" t="s">
        <v>73</v>
      </c>
    </row>
    <row r="14" spans="1:2" ht="1.25" customHeight="1" x14ac:dyDescent="0.35"/>
    <row r="15" spans="1:2" ht="1.25" customHeight="1" x14ac:dyDescent="0.35"/>
    <row r="16" spans="1:2" ht="1.25" customHeight="1" x14ac:dyDescent="0.35"/>
    <row r="17" ht="1.25" customHeight="1" x14ac:dyDescent="0.35"/>
    <row r="18" ht="1.25" customHeight="1" x14ac:dyDescent="0.35"/>
    <row r="19" ht="1.25" customHeight="1" x14ac:dyDescent="0.35"/>
    <row r="20" ht="1.25" customHeight="1" x14ac:dyDescent="0.35"/>
    <row r="21" ht="1.25" customHeight="1" x14ac:dyDescent="0.35"/>
    <row r="22" ht="1.25" customHeight="1" x14ac:dyDescent="0.35"/>
    <row r="23" ht="1.25" customHeight="1" x14ac:dyDescent="0.35"/>
    <row r="24" ht="1.25" customHeight="1" x14ac:dyDescent="0.35"/>
    <row r="25" ht="1.25" customHeight="1" x14ac:dyDescent="0.35"/>
    <row r="26" ht="1.25" customHeight="1" x14ac:dyDescent="0.35"/>
    <row r="27" ht="1.25" customHeight="1" x14ac:dyDescent="0.35"/>
    <row r="28" ht="1.25" customHeight="1" x14ac:dyDescent="0.35"/>
    <row r="29" ht="1.25" customHeight="1" x14ac:dyDescent="0.35"/>
    <row r="30" ht="1.25" customHeight="1" x14ac:dyDescent="0.35"/>
    <row r="31" ht="1.25" customHeight="1" x14ac:dyDescent="0.35"/>
    <row r="32" ht="1.25" customHeight="1" x14ac:dyDescent="0.35"/>
    <row r="33" ht="1.25" customHeight="1" x14ac:dyDescent="0.35"/>
    <row r="34" ht="1.25" customHeight="1" x14ac:dyDescent="0.35"/>
    <row r="35" ht="1.25" customHeight="1" x14ac:dyDescent="0.35"/>
    <row r="36" ht="1.25" customHeight="1" x14ac:dyDescent="0.35"/>
    <row r="37" ht="1.25" customHeight="1" x14ac:dyDescent="0.35"/>
    <row r="38" ht="1.25" customHeight="1" x14ac:dyDescent="0.35"/>
    <row r="39" ht="1.25" customHeight="1" x14ac:dyDescent="0.35"/>
    <row r="40" ht="1.25" customHeight="1" x14ac:dyDescent="0.35"/>
    <row r="41" ht="1.25" customHeight="1" x14ac:dyDescent="0.35"/>
    <row r="42" ht="1.25" customHeight="1" x14ac:dyDescent="0.35"/>
    <row r="43" ht="1.25" customHeight="1" x14ac:dyDescent="0.35"/>
    <row r="44" ht="1.25" customHeight="1" x14ac:dyDescent="0.35"/>
    <row r="45" ht="1.25" customHeight="1" x14ac:dyDescent="0.35"/>
    <row r="46" ht="1.25" customHeight="1" x14ac:dyDescent="0.35"/>
    <row r="47" ht="1.25" customHeight="1" x14ac:dyDescent="0.35"/>
    <row r="48" ht="1.25" customHeight="1" x14ac:dyDescent="0.35"/>
    <row r="49" ht="1.25" customHeight="1" x14ac:dyDescent="0.35"/>
    <row r="50" ht="1.25" customHeight="1" x14ac:dyDescent="0.35"/>
    <row r="51" ht="1.25" customHeight="1" x14ac:dyDescent="0.35"/>
    <row r="52" ht="1.25" customHeight="1" x14ac:dyDescent="0.35"/>
    <row r="53" ht="1.25" customHeight="1" x14ac:dyDescent="0.35"/>
    <row r="54" ht="1.25" customHeight="1" x14ac:dyDescent="0.35"/>
    <row r="55" ht="1.25" customHeight="1" x14ac:dyDescent="0.35"/>
    <row r="56" ht="1.25" customHeight="1" x14ac:dyDescent="0.35"/>
    <row r="57" ht="1.25" customHeight="1" x14ac:dyDescent="0.35"/>
    <row r="58" ht="1.25" customHeight="1" x14ac:dyDescent="0.35"/>
    <row r="59" ht="1.25" customHeight="1" x14ac:dyDescent="0.35"/>
    <row r="60" ht="1.25" customHeight="1" x14ac:dyDescent="0.35"/>
    <row r="61" ht="1.25" customHeight="1" x14ac:dyDescent="0.35"/>
    <row r="62" ht="1.25" customHeight="1" x14ac:dyDescent="0.35"/>
    <row r="63" ht="1.25" customHeight="1" x14ac:dyDescent="0.35"/>
    <row r="64" ht="1.25" customHeight="1" x14ac:dyDescent="0.35"/>
    <row r="65" ht="1.25" customHeight="1" x14ac:dyDescent="0.35"/>
    <row r="66" ht="1.25" customHeight="1" x14ac:dyDescent="0.35"/>
    <row r="67" ht="1.25" customHeight="1" x14ac:dyDescent="0.35"/>
    <row r="68" ht="1.25" customHeight="1" x14ac:dyDescent="0.35"/>
    <row r="69" ht="1.25" customHeight="1" x14ac:dyDescent="0.35"/>
    <row r="70" ht="1.25" customHeight="1" x14ac:dyDescent="0.35"/>
    <row r="71" ht="1.25" customHeight="1" x14ac:dyDescent="0.35"/>
    <row r="72" ht="1.25" customHeight="1" x14ac:dyDescent="0.35"/>
    <row r="73" ht="1.25" customHeight="1" x14ac:dyDescent="0.35"/>
    <row r="74" ht="1.25" customHeight="1" x14ac:dyDescent="0.35"/>
    <row r="75" ht="1.25" customHeight="1" x14ac:dyDescent="0.35"/>
    <row r="76" ht="1.25" customHeight="1" x14ac:dyDescent="0.35"/>
    <row r="77" ht="1.25" customHeight="1" x14ac:dyDescent="0.35"/>
    <row r="78" ht="1.25" customHeight="1" x14ac:dyDescent="0.35"/>
    <row r="79" ht="1.25" customHeight="1" x14ac:dyDescent="0.35"/>
    <row r="80" ht="1.25" customHeight="1" x14ac:dyDescent="0.35"/>
    <row r="81" ht="1.25" customHeight="1" x14ac:dyDescent="0.35"/>
    <row r="82" ht="1.25" customHeight="1" x14ac:dyDescent="0.35"/>
    <row r="83" ht="1.25" customHeight="1" x14ac:dyDescent="0.35"/>
    <row r="84" ht="1.25" customHeight="1" x14ac:dyDescent="0.35"/>
    <row r="85" ht="1.25" customHeight="1" x14ac:dyDescent="0.35"/>
    <row r="86" ht="1.25" customHeight="1" x14ac:dyDescent="0.35"/>
    <row r="87" ht="1.25" customHeight="1" x14ac:dyDescent="0.35"/>
    <row r="88" ht="1.25" customHeight="1" x14ac:dyDescent="0.35"/>
    <row r="89" ht="1.25" customHeight="1" x14ac:dyDescent="0.35"/>
    <row r="90" ht="1.25" customHeight="1" x14ac:dyDescent="0.35"/>
    <row r="91" ht="1.25" customHeight="1" x14ac:dyDescent="0.35"/>
    <row r="92" ht="1.25" customHeight="1" x14ac:dyDescent="0.35"/>
    <row r="93" ht="1.25" customHeight="1" x14ac:dyDescent="0.35"/>
    <row r="94" ht="1.25" customHeight="1" x14ac:dyDescent="0.35"/>
    <row r="95" ht="1.25" customHeight="1" x14ac:dyDescent="0.35"/>
    <row r="96" ht="1.25" customHeight="1" x14ac:dyDescent="0.35"/>
    <row r="97" ht="1.25" customHeight="1" x14ac:dyDescent="0.35"/>
    <row r="98" ht="1.25" customHeight="1" x14ac:dyDescent="0.35"/>
    <row r="99" ht="1.25" customHeight="1" x14ac:dyDescent="0.35"/>
    <row r="100" ht="1.25" customHeight="1" x14ac:dyDescent="0.35"/>
    <row r="101" ht="1.25" customHeight="1" x14ac:dyDescent="0.35"/>
    <row r="102" ht="1.25" customHeight="1" x14ac:dyDescent="0.35"/>
    <row r="103" ht="1.25" customHeight="1" x14ac:dyDescent="0.35"/>
    <row r="104" ht="1.25" customHeight="1" x14ac:dyDescent="0.35"/>
    <row r="105" ht="1.25" customHeight="1" x14ac:dyDescent="0.35"/>
    <row r="106" ht="1.25" customHeight="1" x14ac:dyDescent="0.35"/>
    <row r="107" ht="1.25" customHeight="1" x14ac:dyDescent="0.35"/>
    <row r="108" ht="1.25" customHeight="1" x14ac:dyDescent="0.35"/>
    <row r="109" ht="1.25" customHeight="1" x14ac:dyDescent="0.35"/>
    <row r="110" ht="1.25" customHeight="1" x14ac:dyDescent="0.35"/>
    <row r="111" ht="1.25" customHeight="1" x14ac:dyDescent="0.35"/>
    <row r="112" ht="1.25" customHeight="1" x14ac:dyDescent="0.35"/>
    <row r="113" spans="1:3" ht="1.25" customHeight="1" x14ac:dyDescent="0.35"/>
    <row r="114" spans="1:3" ht="1.25" customHeight="1" x14ac:dyDescent="0.35"/>
    <row r="115" spans="1:3" ht="1.25" customHeight="1" x14ac:dyDescent="0.35"/>
    <row r="116" spans="1:3" ht="1.25" customHeight="1" x14ac:dyDescent="0.35"/>
    <row r="117" spans="1:3" ht="1.25" customHeight="1" x14ac:dyDescent="0.35"/>
    <row r="118" spans="1:3" ht="1.25" customHeight="1" x14ac:dyDescent="0.35"/>
    <row r="119" spans="1:3" ht="1.25" customHeight="1" x14ac:dyDescent="0.35"/>
    <row r="120" spans="1:3" ht="1.25" customHeight="1" x14ac:dyDescent="0.35"/>
    <row r="121" spans="1:3" ht="1.25" customHeight="1" x14ac:dyDescent="0.35"/>
    <row r="122" spans="1:3" ht="1.25" customHeight="1" x14ac:dyDescent="0.35"/>
    <row r="123" spans="1:3" ht="1.25" customHeight="1" x14ac:dyDescent="0.35"/>
    <row r="124" spans="1:3" ht="1.25" customHeight="1" x14ac:dyDescent="0.35"/>
    <row r="125" spans="1:3" x14ac:dyDescent="0.35">
      <c r="B125" t="s">
        <v>234</v>
      </c>
      <c r="C125" t="s">
        <v>230</v>
      </c>
    </row>
    <row r="126" spans="1:3" x14ac:dyDescent="0.35">
      <c r="A126" s="15" t="s">
        <v>489</v>
      </c>
      <c r="B126" s="16" t="s">
        <v>439</v>
      </c>
      <c r="C126" s="16">
        <v>10</v>
      </c>
    </row>
    <row r="127" spans="1:3" x14ac:dyDescent="0.35">
      <c r="A127" s="15" t="s">
        <v>498</v>
      </c>
      <c r="B127" s="16" t="s">
        <v>446</v>
      </c>
      <c r="C127" s="16">
        <v>10</v>
      </c>
    </row>
    <row r="128" spans="1:3" x14ac:dyDescent="0.35">
      <c r="A128" s="15" t="s">
        <v>516</v>
      </c>
      <c r="B128" s="16" t="s">
        <v>449</v>
      </c>
      <c r="C128" s="16">
        <v>10</v>
      </c>
    </row>
    <row r="129" spans="1:3" x14ac:dyDescent="0.35">
      <c r="A129" s="15" t="s">
        <v>512</v>
      </c>
      <c r="B129" s="16" t="s">
        <v>452</v>
      </c>
      <c r="C129" s="16">
        <v>10</v>
      </c>
    </row>
    <row r="130" spans="1:3" x14ac:dyDescent="0.35">
      <c r="A130" s="15" t="s">
        <v>484</v>
      </c>
      <c r="B130" s="16" t="s">
        <v>455</v>
      </c>
      <c r="C130" s="16">
        <v>10</v>
      </c>
    </row>
    <row r="131" spans="1:3" x14ac:dyDescent="0.35">
      <c r="A131" s="15" t="s">
        <v>479</v>
      </c>
      <c r="B131" s="16" t="s">
        <v>458</v>
      </c>
      <c r="C131" s="16">
        <v>12</v>
      </c>
    </row>
    <row r="132" spans="1:3" x14ac:dyDescent="0.35">
      <c r="A132" s="15" t="s">
        <v>503</v>
      </c>
      <c r="B132" s="16" t="s">
        <v>461</v>
      </c>
      <c r="C132" s="16">
        <v>12</v>
      </c>
    </row>
    <row r="133" spans="1:3" x14ac:dyDescent="0.35">
      <c r="A133" s="15" t="s">
        <v>475</v>
      </c>
      <c r="B133" s="16" t="s">
        <v>267</v>
      </c>
      <c r="C133" s="16">
        <v>3</v>
      </c>
    </row>
    <row r="134" spans="1:3" x14ac:dyDescent="0.35">
      <c r="A134" s="15" t="s">
        <v>490</v>
      </c>
      <c r="B134" s="16" t="s">
        <v>287</v>
      </c>
      <c r="C134" s="16">
        <v>5</v>
      </c>
    </row>
    <row r="135" spans="1:3" x14ac:dyDescent="0.35">
      <c r="A135" s="15" t="s">
        <v>525</v>
      </c>
      <c r="B135" s="16" t="s">
        <v>324</v>
      </c>
      <c r="C135" s="16">
        <v>7</v>
      </c>
    </row>
    <row r="136" spans="1:3" x14ac:dyDescent="0.35">
      <c r="A136" s="15" t="s">
        <v>492</v>
      </c>
      <c r="B136" s="16" t="s">
        <v>327</v>
      </c>
      <c r="C136" s="16">
        <v>7</v>
      </c>
    </row>
    <row r="137" spans="1:3" x14ac:dyDescent="0.35">
      <c r="A137" s="15" t="s">
        <v>481</v>
      </c>
      <c r="B137" s="16" t="s">
        <v>333</v>
      </c>
      <c r="C137" s="16">
        <v>7</v>
      </c>
    </row>
    <row r="138" spans="1:3" x14ac:dyDescent="0.35">
      <c r="A138" s="15" t="s">
        <v>508</v>
      </c>
      <c r="B138" s="16" t="s">
        <v>357</v>
      </c>
      <c r="C138" s="16">
        <v>9</v>
      </c>
    </row>
    <row r="139" spans="1:3" x14ac:dyDescent="0.35">
      <c r="A139" s="15" t="s">
        <v>487</v>
      </c>
      <c r="B139" s="16" t="s">
        <v>362</v>
      </c>
      <c r="C139" s="16">
        <v>9</v>
      </c>
    </row>
    <row r="140" spans="1:3" x14ac:dyDescent="0.35">
      <c r="A140" s="15" t="s">
        <v>166</v>
      </c>
      <c r="B140" s="16"/>
      <c r="C140" s="16" t="s">
        <v>165</v>
      </c>
    </row>
    <row r="141" spans="1:3" x14ac:dyDescent="0.35">
      <c r="A141" s="15" t="s">
        <v>205</v>
      </c>
      <c r="B141" s="16" t="s">
        <v>206</v>
      </c>
      <c r="C141" s="16" t="s">
        <v>203</v>
      </c>
    </row>
    <row r="142" spans="1:3" x14ac:dyDescent="0.35">
      <c r="A142" s="15" t="s">
        <v>213</v>
      </c>
      <c r="B142" s="16" t="s">
        <v>214</v>
      </c>
      <c r="C142" s="16" t="s">
        <v>211</v>
      </c>
    </row>
    <row r="143" spans="1:3" x14ac:dyDescent="0.35">
      <c r="A143" s="15" t="s">
        <v>74</v>
      </c>
      <c r="B143" s="16"/>
      <c r="C143" s="16" t="s">
        <v>72</v>
      </c>
    </row>
    <row r="144" spans="1:3" x14ac:dyDescent="0.35">
      <c r="A144" s="15" t="s">
        <v>170</v>
      </c>
      <c r="B144" s="16"/>
      <c r="C144" s="16" t="s">
        <v>165</v>
      </c>
    </row>
    <row r="145" spans="1:3" x14ac:dyDescent="0.35">
      <c r="A145" s="15" t="s">
        <v>78</v>
      </c>
      <c r="B145" s="16"/>
      <c r="C145" s="16" t="s">
        <v>72</v>
      </c>
    </row>
    <row r="146" spans="1:3" x14ac:dyDescent="0.35">
      <c r="A146" s="15" t="s">
        <v>82</v>
      </c>
      <c r="B146" s="16"/>
      <c r="C146" s="16" t="s">
        <v>72</v>
      </c>
    </row>
    <row r="147" spans="1:3" x14ac:dyDescent="0.35">
      <c r="A147" s="15" t="s">
        <v>86</v>
      </c>
      <c r="B147" s="16"/>
      <c r="C147" s="16" t="s">
        <v>72</v>
      </c>
    </row>
    <row r="148" spans="1:3" x14ac:dyDescent="0.35">
      <c r="A148" s="15" t="s">
        <v>174</v>
      </c>
      <c r="B148" s="16"/>
      <c r="C148" s="16" t="s">
        <v>165</v>
      </c>
    </row>
    <row r="149" spans="1:3" x14ac:dyDescent="0.35">
      <c r="A149" s="15" t="s">
        <v>90</v>
      </c>
      <c r="B149" s="16"/>
      <c r="C149" s="16" t="s">
        <v>72</v>
      </c>
    </row>
    <row r="150" spans="1:3" x14ac:dyDescent="0.35">
      <c r="A150" s="15" t="s">
        <v>94</v>
      </c>
      <c r="B150" s="16"/>
      <c r="C150" s="16" t="s">
        <v>72</v>
      </c>
    </row>
    <row r="151" spans="1:3" x14ac:dyDescent="0.35">
      <c r="A151" s="15" t="s">
        <v>232</v>
      </c>
      <c r="B151" s="16"/>
      <c r="C151" s="16" t="s">
        <v>228</v>
      </c>
    </row>
    <row r="152" spans="1:3" x14ac:dyDescent="0.35">
      <c r="A152" s="15" t="s">
        <v>178</v>
      </c>
      <c r="B152" s="16"/>
      <c r="C152" s="16" t="s">
        <v>165</v>
      </c>
    </row>
    <row r="153" spans="1:3" x14ac:dyDescent="0.35">
      <c r="A153" s="15" t="s">
        <v>95</v>
      </c>
      <c r="B153" s="16"/>
      <c r="C153" s="16" t="s">
        <v>72</v>
      </c>
    </row>
    <row r="154" spans="1:3" x14ac:dyDescent="0.35">
      <c r="A154" s="15" t="s">
        <v>97</v>
      </c>
      <c r="B154" s="16"/>
      <c r="C154" s="16" t="s">
        <v>72</v>
      </c>
    </row>
    <row r="155" spans="1:3" ht="1.25" customHeight="1" x14ac:dyDescent="0.35">
      <c r="A155" s="15" t="s">
        <v>98</v>
      </c>
      <c r="B155" s="16"/>
      <c r="C155" s="16" t="s">
        <v>72</v>
      </c>
    </row>
    <row r="156" spans="1:3" ht="1.25" customHeight="1" x14ac:dyDescent="0.35">
      <c r="A156" s="15" t="s">
        <v>233</v>
      </c>
      <c r="B156" s="16"/>
      <c r="C156" s="16" t="s">
        <v>229</v>
      </c>
    </row>
    <row r="157" spans="1:3" ht="1.25" customHeight="1" x14ac:dyDescent="0.35">
      <c r="A157" s="15" t="s">
        <v>182</v>
      </c>
      <c r="B157" s="16"/>
      <c r="C157" s="16" t="s">
        <v>165</v>
      </c>
    </row>
    <row r="158" spans="1:3" ht="1.25" customHeight="1" x14ac:dyDescent="0.35">
      <c r="A158" s="15" t="s">
        <v>186</v>
      </c>
      <c r="B158" s="16"/>
      <c r="C158" s="16" t="s">
        <v>165</v>
      </c>
    </row>
    <row r="159" spans="1:3" ht="1.25" customHeight="1" x14ac:dyDescent="0.35">
      <c r="A159" s="15" t="s">
        <v>190</v>
      </c>
      <c r="B159" s="16"/>
      <c r="C159" s="16" t="s">
        <v>165</v>
      </c>
    </row>
    <row r="160" spans="1:3" ht="1.25" customHeight="1" x14ac:dyDescent="0.35">
      <c r="A160" s="15" t="s">
        <v>194</v>
      </c>
      <c r="B160" s="16"/>
      <c r="C160" s="16" t="s">
        <v>165</v>
      </c>
    </row>
    <row r="161" spans="1:3" ht="1.25" customHeight="1" x14ac:dyDescent="0.35">
      <c r="A161" s="15" t="s">
        <v>137</v>
      </c>
      <c r="B161" s="16"/>
      <c r="C161" s="16" t="s">
        <v>72</v>
      </c>
    </row>
    <row r="162" spans="1:3" ht="1.25" customHeight="1" x14ac:dyDescent="0.35">
      <c r="A162" s="15" t="s">
        <v>141</v>
      </c>
      <c r="B162" s="16"/>
      <c r="C162" s="16" t="s">
        <v>72</v>
      </c>
    </row>
    <row r="163" spans="1:3" ht="1.25" customHeight="1" x14ac:dyDescent="0.35">
      <c r="A163" s="15" t="s">
        <v>145</v>
      </c>
      <c r="B163" s="16"/>
      <c r="C163" s="16" t="s">
        <v>72</v>
      </c>
    </row>
    <row r="164" spans="1:3" ht="1.25" customHeight="1" x14ac:dyDescent="0.35">
      <c r="A164" s="15" t="s">
        <v>149</v>
      </c>
      <c r="B164" s="16"/>
      <c r="C164" s="16" t="s">
        <v>72</v>
      </c>
    </row>
    <row r="165" spans="1:3" ht="1.25" customHeight="1" x14ac:dyDescent="0.35">
      <c r="A165" s="15" t="s">
        <v>198</v>
      </c>
      <c r="B165" s="16"/>
      <c r="C165" s="16" t="s">
        <v>165</v>
      </c>
    </row>
    <row r="166" spans="1:3" ht="1.25" customHeight="1" x14ac:dyDescent="0.35">
      <c r="A166" s="15" t="s">
        <v>153</v>
      </c>
      <c r="B166" s="16"/>
      <c r="C166" s="16" t="s">
        <v>72</v>
      </c>
    </row>
    <row r="167" spans="1:3" ht="1.25" customHeight="1" x14ac:dyDescent="0.35">
      <c r="A167" s="15" t="s">
        <v>157</v>
      </c>
      <c r="B167" s="16"/>
      <c r="C167" s="16" t="s">
        <v>72</v>
      </c>
    </row>
    <row r="168" spans="1:3" ht="1.25" customHeight="1" x14ac:dyDescent="0.35">
      <c r="A168" s="15" t="s">
        <v>161</v>
      </c>
      <c r="B168" s="16"/>
      <c r="C168" s="16" t="s">
        <v>72</v>
      </c>
    </row>
    <row r="169" spans="1:3" ht="1.25" customHeight="1" x14ac:dyDescent="0.35"/>
    <row r="170" spans="1:3" ht="1.25" customHeight="1" x14ac:dyDescent="0.35"/>
    <row r="171" spans="1:3" ht="1.25" customHeight="1" x14ac:dyDescent="0.35"/>
    <row r="172" spans="1:3" ht="1.25" customHeight="1" x14ac:dyDescent="0.35"/>
    <row r="173" spans="1:3" ht="1.25" customHeight="1" x14ac:dyDescent="0.35"/>
    <row r="174" spans="1:3" ht="1.25" customHeight="1" x14ac:dyDescent="0.35"/>
    <row r="175" spans="1:3" ht="1.25" customHeight="1" x14ac:dyDescent="0.35"/>
    <row r="176" spans="1:3" ht="1.25" customHeight="1" x14ac:dyDescent="0.35"/>
    <row r="177" ht="1.25" customHeight="1" x14ac:dyDescent="0.35"/>
    <row r="178" ht="1.25" customHeight="1" x14ac:dyDescent="0.35"/>
    <row r="179" ht="1.25" customHeight="1" x14ac:dyDescent="0.35"/>
    <row r="180" ht="1.25" customHeight="1" x14ac:dyDescent="0.35"/>
    <row r="181" ht="1.25" customHeight="1" x14ac:dyDescent="0.35"/>
    <row r="182" ht="1.25" customHeight="1" x14ac:dyDescent="0.35"/>
    <row r="183" ht="1.25" customHeight="1" x14ac:dyDescent="0.35"/>
    <row r="184" ht="1.25" customHeight="1" x14ac:dyDescent="0.35"/>
    <row r="185" ht="1.25" customHeight="1" x14ac:dyDescent="0.35"/>
    <row r="186" ht="1.25" customHeight="1" x14ac:dyDescent="0.35"/>
    <row r="187" ht="1.25" customHeight="1" x14ac:dyDescent="0.35"/>
    <row r="188" ht="1.25" customHeight="1" x14ac:dyDescent="0.35"/>
    <row r="189" ht="1.25" customHeight="1" x14ac:dyDescent="0.35"/>
    <row r="190" ht="1.25" customHeight="1" x14ac:dyDescent="0.35"/>
    <row r="191" ht="1.25" customHeight="1" x14ac:dyDescent="0.35"/>
    <row r="192" ht="1.25" customHeight="1" x14ac:dyDescent="0.35"/>
    <row r="193" ht="1.25" customHeight="1" x14ac:dyDescent="0.35"/>
    <row r="194" ht="1.25" customHeight="1" x14ac:dyDescent="0.35"/>
    <row r="195" ht="1.25" customHeight="1" x14ac:dyDescent="0.35"/>
    <row r="196" ht="1.25" customHeight="1" x14ac:dyDescent="0.35"/>
    <row r="197" ht="1.25" customHeight="1" x14ac:dyDescent="0.35"/>
    <row r="198" ht="1.25" customHeight="1" x14ac:dyDescent="0.35"/>
    <row r="199" ht="1.25" customHeight="1" x14ac:dyDescent="0.35"/>
    <row r="200" ht="1.25" customHeight="1" x14ac:dyDescent="0.35"/>
    <row r="201" ht="1.25" customHeight="1" x14ac:dyDescent="0.35"/>
    <row r="202" ht="1.25" customHeight="1" x14ac:dyDescent="0.35"/>
    <row r="203" ht="1.25" customHeight="1" x14ac:dyDescent="0.35"/>
    <row r="204" ht="1.25" customHeight="1" x14ac:dyDescent="0.35"/>
    <row r="205" ht="1.25" customHeight="1" x14ac:dyDescent="0.35"/>
    <row r="206" ht="1.25" customHeight="1" x14ac:dyDescent="0.35"/>
    <row r="207" ht="1.25" customHeight="1" x14ac:dyDescent="0.35"/>
    <row r="208" ht="1.25" customHeight="1" x14ac:dyDescent="0.35"/>
    <row r="209" ht="1.25" customHeight="1" x14ac:dyDescent="0.35"/>
    <row r="210" ht="1.25" customHeight="1" x14ac:dyDescent="0.35"/>
    <row r="211" ht="1.25" customHeight="1" x14ac:dyDescent="0.35"/>
    <row r="212" ht="1.25" customHeight="1" x14ac:dyDescent="0.35"/>
    <row r="213" ht="1.25" customHeight="1" x14ac:dyDescent="0.35"/>
    <row r="214" ht="1.25" customHeight="1" x14ac:dyDescent="0.35"/>
    <row r="215" ht="1.25" customHeight="1" x14ac:dyDescent="0.35"/>
    <row r="216" ht="1.25" customHeight="1" x14ac:dyDescent="0.35"/>
    <row r="217" ht="1.25" customHeight="1" x14ac:dyDescent="0.35"/>
    <row r="218" ht="1.25" customHeight="1" x14ac:dyDescent="0.35"/>
    <row r="219" ht="1.25" customHeight="1" x14ac:dyDescent="0.35"/>
    <row r="220" ht="1.25" customHeight="1" x14ac:dyDescent="0.35"/>
    <row r="221" ht="1.25" customHeight="1" x14ac:dyDescent="0.35"/>
    <row r="222" ht="1.25" customHeight="1" x14ac:dyDescent="0.35"/>
    <row r="223" ht="1.25" customHeight="1" x14ac:dyDescent="0.35"/>
    <row r="224" ht="1.25" customHeight="1" x14ac:dyDescent="0.35"/>
    <row r="225" ht="1.25" customHeight="1" x14ac:dyDescent="0.35"/>
    <row r="226" ht="1.25" customHeight="1" x14ac:dyDescent="0.35"/>
    <row r="227" ht="1.25" customHeight="1" x14ac:dyDescent="0.35"/>
    <row r="228" ht="1.25" customHeight="1" x14ac:dyDescent="0.35"/>
    <row r="229" ht="1.25" customHeight="1" x14ac:dyDescent="0.35"/>
    <row r="230" ht="1.25" customHeight="1" x14ac:dyDescent="0.35"/>
    <row r="231" ht="1.25" customHeight="1" x14ac:dyDescent="0.35"/>
    <row r="232" ht="1.25" customHeight="1" x14ac:dyDescent="0.35"/>
    <row r="233" ht="1.25" customHeight="1" x14ac:dyDescent="0.35"/>
    <row r="234" ht="1.25" customHeight="1" x14ac:dyDescent="0.35"/>
    <row r="235" ht="1.25" customHeight="1" x14ac:dyDescent="0.35"/>
    <row r="236" ht="1.25" customHeight="1" x14ac:dyDescent="0.35"/>
    <row r="237" ht="1.25" customHeight="1" x14ac:dyDescent="0.35"/>
    <row r="238" ht="1.25" customHeight="1" x14ac:dyDescent="0.35"/>
    <row r="239" ht="1.25" customHeight="1" x14ac:dyDescent="0.35"/>
    <row r="240" ht="1.25" customHeight="1" x14ac:dyDescent="0.35"/>
    <row r="241" ht="1.25" customHeight="1" x14ac:dyDescent="0.35"/>
    <row r="242" ht="1.25" customHeight="1" x14ac:dyDescent="0.35"/>
    <row r="243" ht="1.25" customHeight="1" x14ac:dyDescent="0.35"/>
    <row r="244" ht="1.25" customHeight="1" x14ac:dyDescent="0.35"/>
    <row r="245" ht="1.25" customHeight="1" x14ac:dyDescent="0.35"/>
    <row r="246" ht="1.25" customHeight="1" x14ac:dyDescent="0.35"/>
    <row r="247" ht="1.25" customHeight="1" x14ac:dyDescent="0.35"/>
    <row r="248" ht="1.25" customHeight="1" x14ac:dyDescent="0.35"/>
    <row r="249" ht="1.25" customHeight="1" x14ac:dyDescent="0.35"/>
    <row r="250" ht="1.25" customHeight="1" x14ac:dyDescent="0.35"/>
    <row r="251" ht="1.25" customHeight="1" x14ac:dyDescent="0.35"/>
    <row r="252" ht="1.25" customHeight="1" x14ac:dyDescent="0.35"/>
    <row r="253" ht="1.25" customHeight="1" x14ac:dyDescent="0.35"/>
    <row r="254" ht="1.25" customHeight="1" x14ac:dyDescent="0.35"/>
    <row r="255" ht="1.25" customHeight="1" x14ac:dyDescent="0.35"/>
    <row r="256" ht="1.25" customHeight="1" x14ac:dyDescent="0.35"/>
    <row r="257" ht="1.25" customHeight="1" x14ac:dyDescent="0.35"/>
    <row r="258" ht="1.25" customHeight="1" x14ac:dyDescent="0.35"/>
    <row r="259" ht="1.25" customHeight="1" x14ac:dyDescent="0.35"/>
    <row r="260" ht="1.25" customHeight="1" x14ac:dyDescent="0.35"/>
    <row r="261" ht="1.25" customHeight="1" x14ac:dyDescent="0.35"/>
    <row r="262" ht="1.25" customHeight="1" x14ac:dyDescent="0.35"/>
    <row r="263" ht="1.25" customHeight="1" x14ac:dyDescent="0.35"/>
    <row r="264" ht="1.25" customHeight="1" x14ac:dyDescent="0.35"/>
    <row r="265" ht="1.25" customHeight="1" x14ac:dyDescent="0.35"/>
    <row r="266" ht="1.25" customHeight="1" x14ac:dyDescent="0.35"/>
    <row r="267" ht="1.25" customHeight="1" x14ac:dyDescent="0.35"/>
    <row r="268" ht="1.25" customHeight="1" x14ac:dyDescent="0.35"/>
    <row r="269" ht="1.25" customHeight="1" x14ac:dyDescent="0.35"/>
    <row r="270" ht="1.25" customHeight="1" x14ac:dyDescent="0.35"/>
    <row r="271" ht="1.25" customHeight="1" x14ac:dyDescent="0.35"/>
    <row r="272" ht="1.25" customHeight="1" x14ac:dyDescent="0.35"/>
    <row r="273" ht="1.25" customHeight="1" x14ac:dyDescent="0.35"/>
    <row r="274" ht="1.25" customHeight="1" x14ac:dyDescent="0.35"/>
    <row r="275" ht="1.25" customHeight="1" x14ac:dyDescent="0.35"/>
    <row r="276" ht="1.25" customHeight="1" x14ac:dyDescent="0.35"/>
    <row r="277" ht="1.25" customHeight="1" x14ac:dyDescent="0.35"/>
    <row r="278" ht="1.25" customHeight="1" x14ac:dyDescent="0.35"/>
    <row r="279" ht="1.25" customHeight="1" x14ac:dyDescent="0.35"/>
    <row r="280" ht="1.25" customHeight="1" x14ac:dyDescent="0.35"/>
    <row r="281" ht="1.25" customHeight="1" x14ac:dyDescent="0.35"/>
    <row r="282" ht="1.25" customHeight="1" x14ac:dyDescent="0.35"/>
    <row r="283" ht="1.25" customHeight="1" x14ac:dyDescent="0.35"/>
    <row r="284" ht="1.25" customHeight="1" x14ac:dyDescent="0.35"/>
    <row r="285" ht="1.25" customHeight="1" x14ac:dyDescent="0.35"/>
    <row r="286" ht="1.25" customHeight="1" x14ac:dyDescent="0.35"/>
    <row r="287" ht="1.25" customHeight="1" x14ac:dyDescent="0.35"/>
    <row r="288" ht="1.25" customHeight="1" x14ac:dyDescent="0.35"/>
    <row r="289" ht="1.25" customHeight="1" x14ac:dyDescent="0.35"/>
    <row r="290" ht="1.25" customHeight="1" x14ac:dyDescent="0.35"/>
    <row r="291" ht="1.25" customHeight="1" x14ac:dyDescent="0.35"/>
    <row r="292" ht="1.25" customHeight="1" x14ac:dyDescent="0.35"/>
    <row r="293" ht="1.25" customHeight="1" x14ac:dyDescent="0.35"/>
    <row r="294" ht="1.25" customHeight="1" x14ac:dyDescent="0.35"/>
    <row r="295" ht="1.25" customHeight="1" x14ac:dyDescent="0.35"/>
    <row r="296" ht="1.25" customHeight="1" x14ac:dyDescent="0.35"/>
    <row r="297" ht="1.25" customHeight="1" x14ac:dyDescent="0.35"/>
    <row r="298" ht="1.25" customHeight="1" x14ac:dyDescent="0.35"/>
    <row r="299" ht="1.25" customHeight="1" x14ac:dyDescent="0.35"/>
    <row r="300" ht="1.25" customHeight="1" x14ac:dyDescent="0.35"/>
    <row r="301" ht="1.25" customHeight="1" x14ac:dyDescent="0.35"/>
    <row r="302" ht="1.25" customHeight="1" x14ac:dyDescent="0.35"/>
    <row r="303" ht="1.25" customHeight="1" x14ac:dyDescent="0.35"/>
    <row r="304" ht="1.25" customHeight="1" x14ac:dyDescent="0.35"/>
    <row r="305" ht="1.25" customHeight="1" x14ac:dyDescent="0.35"/>
    <row r="306" ht="1.25" customHeight="1" x14ac:dyDescent="0.35"/>
    <row r="307" ht="1.25" customHeight="1" x14ac:dyDescent="0.35"/>
    <row r="308" ht="1.25" customHeight="1" x14ac:dyDescent="0.35"/>
    <row r="309" ht="1.25" customHeight="1" x14ac:dyDescent="0.35"/>
    <row r="310" ht="1.25" customHeight="1" x14ac:dyDescent="0.35"/>
    <row r="311" ht="1.25" customHeight="1" x14ac:dyDescent="0.35"/>
    <row r="312" ht="1.25" customHeight="1" x14ac:dyDescent="0.35"/>
    <row r="313" ht="1.25" customHeight="1" x14ac:dyDescent="0.35"/>
    <row r="314" ht="1.25" customHeight="1" x14ac:dyDescent="0.35"/>
    <row r="315" ht="1.25" customHeight="1" x14ac:dyDescent="0.35"/>
    <row r="316" ht="1.25" customHeight="1" x14ac:dyDescent="0.35"/>
    <row r="317" ht="1.25" customHeight="1" x14ac:dyDescent="0.35"/>
    <row r="318" ht="1.25" customHeight="1" x14ac:dyDescent="0.35"/>
    <row r="319" ht="1.25" customHeight="1" x14ac:dyDescent="0.35"/>
    <row r="320" ht="1.25" customHeight="1" x14ac:dyDescent="0.35"/>
    <row r="321" ht="1.25" customHeight="1" x14ac:dyDescent="0.35"/>
    <row r="322" ht="1.25" customHeight="1" x14ac:dyDescent="0.35"/>
    <row r="323" ht="1.25" customHeight="1" x14ac:dyDescent="0.35"/>
    <row r="324" ht="1.25" customHeight="1" x14ac:dyDescent="0.35"/>
    <row r="325" ht="1.25" customHeight="1" x14ac:dyDescent="0.35"/>
    <row r="326" ht="1.25" customHeight="1" x14ac:dyDescent="0.35"/>
    <row r="327" ht="1.25" customHeight="1" x14ac:dyDescent="0.35"/>
    <row r="328" ht="1.25" customHeight="1" x14ac:dyDescent="0.35"/>
    <row r="329" ht="1.25" customHeight="1" x14ac:dyDescent="0.35"/>
    <row r="330" ht="1.25" customHeight="1" x14ac:dyDescent="0.35"/>
    <row r="331" ht="1.25" customHeight="1" x14ac:dyDescent="0.35"/>
    <row r="332" ht="1.25" customHeight="1" x14ac:dyDescent="0.35"/>
    <row r="333" ht="1.25" customHeight="1" x14ac:dyDescent="0.35"/>
    <row r="334" ht="1.25" customHeight="1" x14ac:dyDescent="0.35"/>
    <row r="335" ht="1.25" customHeight="1" x14ac:dyDescent="0.35"/>
    <row r="336" ht="1.25" customHeight="1" x14ac:dyDescent="0.35"/>
    <row r="337" ht="1.25" customHeight="1" x14ac:dyDescent="0.35"/>
    <row r="338" ht="1.25" customHeight="1" x14ac:dyDescent="0.35"/>
    <row r="339" ht="1.25" customHeight="1" x14ac:dyDescent="0.35"/>
    <row r="340" ht="1.25" customHeight="1" x14ac:dyDescent="0.35"/>
    <row r="341" ht="1.25" customHeight="1" x14ac:dyDescent="0.35"/>
    <row r="342" ht="1.25" customHeight="1" x14ac:dyDescent="0.35"/>
    <row r="343" ht="1.25" customHeight="1" x14ac:dyDescent="0.35"/>
    <row r="344" ht="1.25" customHeight="1" x14ac:dyDescent="0.35"/>
    <row r="345" ht="1.25" customHeight="1" x14ac:dyDescent="0.35"/>
    <row r="346" ht="1.25" customHeight="1" x14ac:dyDescent="0.35"/>
    <row r="347" ht="1.25" customHeight="1" x14ac:dyDescent="0.35"/>
    <row r="348" ht="1.25" customHeight="1" x14ac:dyDescent="0.35"/>
    <row r="349" ht="1.25" customHeight="1" x14ac:dyDescent="0.35"/>
    <row r="350" ht="1.25" customHeight="1" x14ac:dyDescent="0.35"/>
    <row r="351" ht="1.25" customHeight="1" x14ac:dyDescent="0.35"/>
    <row r="352" ht="1.25" customHeight="1" x14ac:dyDescent="0.35"/>
    <row r="353" ht="1.25" customHeight="1" x14ac:dyDescent="0.35"/>
    <row r="354" ht="1.25" customHeight="1" x14ac:dyDescent="0.35"/>
    <row r="355" ht="1.25" customHeight="1" x14ac:dyDescent="0.35"/>
    <row r="356" ht="1.25" customHeight="1" x14ac:dyDescent="0.35"/>
    <row r="357" ht="1.25" customHeight="1" x14ac:dyDescent="0.35"/>
    <row r="358" ht="1.25" customHeight="1" x14ac:dyDescent="0.35"/>
    <row r="359" ht="1.25" customHeight="1" x14ac:dyDescent="0.35"/>
    <row r="360" ht="1.25" customHeight="1" x14ac:dyDescent="0.35"/>
    <row r="361" ht="1.25" customHeight="1" x14ac:dyDescent="0.35"/>
    <row r="362" ht="1.25" customHeight="1" x14ac:dyDescent="0.35"/>
    <row r="363" ht="1.25" customHeight="1" x14ac:dyDescent="0.35"/>
    <row r="364" ht="1.25" customHeight="1" x14ac:dyDescent="0.35"/>
    <row r="365" ht="1.25" customHeight="1" x14ac:dyDescent="0.35"/>
    <row r="366" ht="1.25" customHeight="1" x14ac:dyDescent="0.35"/>
    <row r="367" ht="1.25" customHeight="1" x14ac:dyDescent="0.35"/>
    <row r="368" ht="1.25" customHeight="1" x14ac:dyDescent="0.35"/>
    <row r="369" ht="1.25" customHeight="1" x14ac:dyDescent="0.35"/>
    <row r="370" ht="1.25" customHeight="1" x14ac:dyDescent="0.35"/>
    <row r="371" ht="1.25" customHeight="1" x14ac:dyDescent="0.35"/>
    <row r="372" ht="1.25" customHeight="1" x14ac:dyDescent="0.35"/>
    <row r="373" ht="1.25" customHeight="1" x14ac:dyDescent="0.35"/>
    <row r="374" ht="1.25" customHeight="1" x14ac:dyDescent="0.35"/>
    <row r="375" ht="1.25" customHeight="1" x14ac:dyDescent="0.35"/>
    <row r="376" ht="1.25" customHeight="1" x14ac:dyDescent="0.35"/>
    <row r="377" ht="1.25" customHeight="1" x14ac:dyDescent="0.35"/>
    <row r="378" ht="1.25" customHeight="1" x14ac:dyDescent="0.35"/>
    <row r="379" ht="1.25" customHeight="1" x14ac:dyDescent="0.35"/>
    <row r="380" ht="1.25" customHeight="1" x14ac:dyDescent="0.35"/>
    <row r="381" ht="1.25" customHeight="1" x14ac:dyDescent="0.35"/>
    <row r="382" ht="1.25" customHeight="1" x14ac:dyDescent="0.35"/>
    <row r="383" ht="1.25" customHeight="1" x14ac:dyDescent="0.35"/>
    <row r="384" ht="1.25" customHeight="1" x14ac:dyDescent="0.35"/>
    <row r="385" ht="1.25" customHeight="1" x14ac:dyDescent="0.35"/>
    <row r="386" ht="1.25" customHeight="1" x14ac:dyDescent="0.35"/>
    <row r="387" ht="1.25" customHeight="1" x14ac:dyDescent="0.35"/>
    <row r="388" ht="1.25" customHeight="1" x14ac:dyDescent="0.35"/>
    <row r="389" ht="1.25" customHeight="1" x14ac:dyDescent="0.35"/>
    <row r="390" ht="1.25" customHeight="1" x14ac:dyDescent="0.35"/>
    <row r="391" ht="1.25" customHeight="1" x14ac:dyDescent="0.35"/>
    <row r="392" ht="1.25" customHeight="1" x14ac:dyDescent="0.35"/>
    <row r="393" ht="1.25" customHeight="1" x14ac:dyDescent="0.35"/>
    <row r="394" ht="1.25" customHeight="1" x14ac:dyDescent="0.35"/>
    <row r="395" ht="1.25" customHeight="1" x14ac:dyDescent="0.35"/>
    <row r="396" ht="1.25" customHeight="1" x14ac:dyDescent="0.35"/>
    <row r="397" ht="1.25" customHeight="1" x14ac:dyDescent="0.35"/>
    <row r="398" ht="1.25" customHeight="1" x14ac:dyDescent="0.35"/>
    <row r="399" ht="1.25" customHeight="1" x14ac:dyDescent="0.35"/>
    <row r="400" ht="1.25" customHeight="1" x14ac:dyDescent="0.35"/>
    <row r="401" ht="1.25" customHeight="1" x14ac:dyDescent="0.35"/>
    <row r="402" ht="1.25" customHeight="1" x14ac:dyDescent="0.35"/>
    <row r="403" ht="1.25" customHeight="1" x14ac:dyDescent="0.35"/>
    <row r="404" ht="1.25" customHeight="1" x14ac:dyDescent="0.35"/>
    <row r="405" ht="1.25" customHeight="1" x14ac:dyDescent="0.35"/>
    <row r="406" ht="1.25" customHeight="1" x14ac:dyDescent="0.35"/>
    <row r="407" ht="1.25" customHeight="1" x14ac:dyDescent="0.35"/>
    <row r="408" ht="1.25" customHeight="1" x14ac:dyDescent="0.35"/>
    <row r="409" ht="1.25" customHeight="1" x14ac:dyDescent="0.35"/>
    <row r="410" ht="1.25" customHeight="1" x14ac:dyDescent="0.35"/>
    <row r="411" ht="1.25" customHeight="1" x14ac:dyDescent="0.35"/>
    <row r="412" ht="1.25" customHeight="1" x14ac:dyDescent="0.35"/>
    <row r="413" ht="1.25" customHeight="1" x14ac:dyDescent="0.35"/>
    <row r="414" ht="1.25" customHeight="1" x14ac:dyDescent="0.35"/>
    <row r="415" ht="1.25" customHeight="1" x14ac:dyDescent="0.35"/>
    <row r="416" ht="1.25" customHeight="1" x14ac:dyDescent="0.35"/>
    <row r="417" ht="1.25" customHeight="1" x14ac:dyDescent="0.35"/>
    <row r="418" ht="1.25" customHeight="1" x14ac:dyDescent="0.35"/>
    <row r="419" ht="1.25" customHeight="1" x14ac:dyDescent="0.35"/>
    <row r="420" ht="1.25" customHeight="1" x14ac:dyDescent="0.35"/>
    <row r="421" ht="1.25" customHeight="1" x14ac:dyDescent="0.35"/>
    <row r="422" ht="1.25" customHeight="1" x14ac:dyDescent="0.35"/>
    <row r="423" ht="1.25" customHeight="1" x14ac:dyDescent="0.35"/>
    <row r="424" ht="1.25" customHeight="1" x14ac:dyDescent="0.35"/>
    <row r="425" ht="1.25" customHeight="1" x14ac:dyDescent="0.35"/>
    <row r="426" ht="1.25" customHeight="1" x14ac:dyDescent="0.35"/>
    <row r="427" ht="1.25" customHeight="1" x14ac:dyDescent="0.35"/>
    <row r="428" ht="1.25" customHeight="1" x14ac:dyDescent="0.35"/>
    <row r="429" ht="1.25" customHeight="1" x14ac:dyDescent="0.35"/>
    <row r="430" ht="1.25" customHeight="1" x14ac:dyDescent="0.35"/>
    <row r="431" ht="1.25" customHeight="1" x14ac:dyDescent="0.35"/>
    <row r="432" ht="1.25" customHeight="1" x14ac:dyDescent="0.35"/>
    <row r="433" ht="1.25" customHeight="1" x14ac:dyDescent="0.35"/>
    <row r="434" ht="1.25" customHeight="1" x14ac:dyDescent="0.35"/>
    <row r="435" ht="1.25" customHeight="1" x14ac:dyDescent="0.35"/>
    <row r="436" ht="1.25" customHeight="1" x14ac:dyDescent="0.35"/>
    <row r="437" ht="1.25" customHeight="1" x14ac:dyDescent="0.35"/>
    <row r="438" ht="1.25" customHeight="1" x14ac:dyDescent="0.35"/>
    <row r="439" ht="1.25" customHeight="1" x14ac:dyDescent="0.35"/>
    <row r="440" ht="1.25" customHeight="1" x14ac:dyDescent="0.35"/>
    <row r="441" ht="1.25" customHeight="1" x14ac:dyDescent="0.35"/>
    <row r="442" ht="1.25" customHeight="1" x14ac:dyDescent="0.35"/>
    <row r="443" ht="1.25" customHeight="1" x14ac:dyDescent="0.35"/>
    <row r="444" ht="1.25" customHeight="1" x14ac:dyDescent="0.35"/>
    <row r="445" ht="1.25" customHeight="1" x14ac:dyDescent="0.35"/>
    <row r="446" ht="1.25" customHeight="1" x14ac:dyDescent="0.35"/>
    <row r="447" ht="1.25" customHeight="1" x14ac:dyDescent="0.35"/>
    <row r="448" ht="1.25" customHeight="1" x14ac:dyDescent="0.35"/>
    <row r="449" ht="1.25" customHeight="1" x14ac:dyDescent="0.35"/>
    <row r="450" ht="1.25" customHeight="1" x14ac:dyDescent="0.35"/>
    <row r="451" ht="1.25" customHeight="1" x14ac:dyDescent="0.35"/>
    <row r="452" ht="1.25" customHeight="1" x14ac:dyDescent="0.35"/>
    <row r="453" ht="1.25" customHeight="1" x14ac:dyDescent="0.35"/>
    <row r="454" ht="1.25" customHeight="1" x14ac:dyDescent="0.35"/>
    <row r="455" ht="1.25" customHeight="1" x14ac:dyDescent="0.35"/>
    <row r="456" ht="1.25" customHeight="1" x14ac:dyDescent="0.35"/>
    <row r="457" ht="1.25" customHeight="1" x14ac:dyDescent="0.35"/>
    <row r="458" ht="1.25" customHeight="1" x14ac:dyDescent="0.35"/>
    <row r="459" ht="1.25" customHeight="1" x14ac:dyDescent="0.35"/>
    <row r="460" ht="1.25" customHeight="1" x14ac:dyDescent="0.35"/>
    <row r="461" ht="1.25" customHeight="1" x14ac:dyDescent="0.35"/>
    <row r="462" ht="1.25" customHeight="1" x14ac:dyDescent="0.35"/>
    <row r="463" ht="1.25" customHeight="1" x14ac:dyDescent="0.35"/>
    <row r="464" ht="1.25" customHeight="1" x14ac:dyDescent="0.35"/>
    <row r="465" ht="1.25" customHeight="1" x14ac:dyDescent="0.35"/>
    <row r="466" ht="1.25" customHeight="1" x14ac:dyDescent="0.35"/>
    <row r="467" ht="1.25" customHeight="1" x14ac:dyDescent="0.35"/>
    <row r="468" ht="1.25" customHeight="1" x14ac:dyDescent="0.35"/>
    <row r="469" ht="1.25" customHeight="1" x14ac:dyDescent="0.35"/>
    <row r="470" ht="1.25" customHeight="1" x14ac:dyDescent="0.35"/>
    <row r="471" ht="1.25" customHeight="1" x14ac:dyDescent="0.35"/>
    <row r="472" ht="1.25" customHeight="1" x14ac:dyDescent="0.35"/>
    <row r="473" ht="1.25" customHeight="1" x14ac:dyDescent="0.35"/>
    <row r="474" ht="1.25" customHeight="1" x14ac:dyDescent="0.35"/>
    <row r="475" ht="1.25" customHeight="1" x14ac:dyDescent="0.35"/>
    <row r="476" ht="1.25" customHeight="1" x14ac:dyDescent="0.35"/>
    <row r="477" ht="1.25" customHeight="1" x14ac:dyDescent="0.35"/>
    <row r="478" ht="1.25" customHeight="1" x14ac:dyDescent="0.35"/>
    <row r="479" ht="1.25" customHeight="1" x14ac:dyDescent="0.35"/>
    <row r="480" ht="1.25" customHeight="1" x14ac:dyDescent="0.35"/>
    <row r="481" ht="1.25" customHeight="1" x14ac:dyDescent="0.35"/>
    <row r="482" ht="1.25" customHeight="1" x14ac:dyDescent="0.35"/>
    <row r="483" ht="1.25" customHeight="1" x14ac:dyDescent="0.35"/>
    <row r="484" ht="1.25" customHeight="1" x14ac:dyDescent="0.35"/>
    <row r="485" ht="1.25" customHeight="1" x14ac:dyDescent="0.35"/>
    <row r="486" ht="1.25" customHeight="1" x14ac:dyDescent="0.35"/>
    <row r="487" ht="1.25" customHeight="1" x14ac:dyDescent="0.35"/>
    <row r="488" ht="1.25" customHeight="1" x14ac:dyDescent="0.35"/>
    <row r="489" ht="1.25" customHeight="1" x14ac:dyDescent="0.35"/>
    <row r="490" ht="1.25" customHeight="1" x14ac:dyDescent="0.35"/>
    <row r="491" ht="1.25" customHeight="1" x14ac:dyDescent="0.35"/>
    <row r="492" ht="1.25" customHeight="1" x14ac:dyDescent="0.35"/>
    <row r="493" ht="1.25" customHeight="1" x14ac:dyDescent="0.35"/>
    <row r="494" ht="1.25" customHeight="1" x14ac:dyDescent="0.35"/>
    <row r="495" ht="1.25" customHeight="1" x14ac:dyDescent="0.35"/>
    <row r="496" ht="1.25" customHeight="1" x14ac:dyDescent="0.35"/>
    <row r="497" spans="1:3" ht="1.25" customHeight="1" x14ac:dyDescent="0.35"/>
    <row r="498" spans="1:3" ht="1.25" customHeight="1" x14ac:dyDescent="0.35"/>
    <row r="499" spans="1:3" ht="1.25" customHeight="1" x14ac:dyDescent="0.35"/>
    <row r="500" spans="1:3" x14ac:dyDescent="0.35">
      <c r="B500" t="s">
        <v>242</v>
      </c>
      <c r="C500" t="s">
        <v>244</v>
      </c>
    </row>
    <row r="501" spans="1:3" x14ac:dyDescent="0.35">
      <c r="A501" s="15" t="s">
        <v>75</v>
      </c>
      <c r="B501" s="16"/>
      <c r="C501" s="16" t="s">
        <v>74</v>
      </c>
    </row>
    <row r="502" spans="1:3" x14ac:dyDescent="0.35">
      <c r="A502" s="15" t="s">
        <v>76</v>
      </c>
      <c r="B502" s="16"/>
      <c r="C502" s="16" t="s">
        <v>74</v>
      </c>
    </row>
    <row r="503" spans="1:3" x14ac:dyDescent="0.35">
      <c r="A503" s="15" t="s">
        <v>77</v>
      </c>
      <c r="B503" s="16"/>
      <c r="C503" s="16" t="s">
        <v>74</v>
      </c>
    </row>
    <row r="504" spans="1:3" x14ac:dyDescent="0.35">
      <c r="A504" s="15" t="s">
        <v>138</v>
      </c>
      <c r="B504" s="16"/>
      <c r="C504" s="16" t="s">
        <v>137</v>
      </c>
    </row>
    <row r="505" spans="1:3" x14ac:dyDescent="0.35">
      <c r="A505" s="15" t="s">
        <v>139</v>
      </c>
      <c r="B505" s="16"/>
      <c r="C505" s="16" t="s">
        <v>137</v>
      </c>
    </row>
    <row r="506" spans="1:3" x14ac:dyDescent="0.35">
      <c r="A506" s="15" t="s">
        <v>140</v>
      </c>
      <c r="B506" s="16"/>
      <c r="C506" s="16" t="s">
        <v>137</v>
      </c>
    </row>
    <row r="507" spans="1:3" x14ac:dyDescent="0.35">
      <c r="A507" s="15" t="s">
        <v>142</v>
      </c>
      <c r="B507" s="16"/>
      <c r="C507" s="16" t="s">
        <v>141</v>
      </c>
    </row>
    <row r="508" spans="1:3" x14ac:dyDescent="0.35">
      <c r="A508" s="15" t="s">
        <v>143</v>
      </c>
      <c r="B508" s="16"/>
      <c r="C508" s="16" t="s">
        <v>141</v>
      </c>
    </row>
    <row r="509" spans="1:3" x14ac:dyDescent="0.35">
      <c r="A509" s="15" t="s">
        <v>144</v>
      </c>
      <c r="B509" s="16"/>
      <c r="C509" s="16" t="s">
        <v>141</v>
      </c>
    </row>
    <row r="510" spans="1:3" x14ac:dyDescent="0.35">
      <c r="A510" s="15" t="s">
        <v>146</v>
      </c>
      <c r="B510" s="16"/>
      <c r="C510" s="16" t="s">
        <v>145</v>
      </c>
    </row>
    <row r="511" spans="1:3" x14ac:dyDescent="0.35">
      <c r="A511" s="15" t="s">
        <v>147</v>
      </c>
      <c r="B511" s="16"/>
      <c r="C511" s="16" t="s">
        <v>145</v>
      </c>
    </row>
    <row r="512" spans="1:3" x14ac:dyDescent="0.35">
      <c r="A512" s="15" t="s">
        <v>148</v>
      </c>
      <c r="B512" s="16"/>
      <c r="C512" s="16" t="s">
        <v>145</v>
      </c>
    </row>
    <row r="513" spans="1:3" x14ac:dyDescent="0.35">
      <c r="A513" s="15" t="s">
        <v>150</v>
      </c>
      <c r="B513" s="16"/>
      <c r="C513" s="16" t="s">
        <v>149</v>
      </c>
    </row>
    <row r="514" spans="1:3" x14ac:dyDescent="0.35">
      <c r="A514" s="15" t="s">
        <v>151</v>
      </c>
      <c r="B514" s="16"/>
      <c r="C514" s="16" t="s">
        <v>149</v>
      </c>
    </row>
    <row r="515" spans="1:3" x14ac:dyDescent="0.35">
      <c r="A515" s="15" t="s">
        <v>152</v>
      </c>
      <c r="B515" s="16"/>
      <c r="C515" s="16" t="s">
        <v>149</v>
      </c>
    </row>
    <row r="516" spans="1:3" x14ac:dyDescent="0.35">
      <c r="A516" s="15" t="s">
        <v>154</v>
      </c>
      <c r="B516" s="16"/>
      <c r="C516" s="16" t="s">
        <v>153</v>
      </c>
    </row>
    <row r="517" spans="1:3" x14ac:dyDescent="0.35">
      <c r="A517" s="15" t="s">
        <v>155</v>
      </c>
      <c r="B517" s="16"/>
      <c r="C517" s="16" t="s">
        <v>153</v>
      </c>
    </row>
    <row r="518" spans="1:3" x14ac:dyDescent="0.35">
      <c r="A518" s="15" t="s">
        <v>156</v>
      </c>
      <c r="B518" s="16"/>
      <c r="C518" s="16" t="s">
        <v>153</v>
      </c>
    </row>
    <row r="519" spans="1:3" x14ac:dyDescent="0.35">
      <c r="A519" s="15" t="s">
        <v>158</v>
      </c>
      <c r="B519" s="16"/>
      <c r="C519" s="16" t="s">
        <v>157</v>
      </c>
    </row>
    <row r="520" spans="1:3" x14ac:dyDescent="0.35">
      <c r="A520" s="15" t="s">
        <v>159</v>
      </c>
      <c r="B520" s="16"/>
      <c r="C520" s="16" t="s">
        <v>157</v>
      </c>
    </row>
    <row r="521" spans="1:3" x14ac:dyDescent="0.35">
      <c r="A521" s="15" t="s">
        <v>160</v>
      </c>
      <c r="B521" s="16"/>
      <c r="C521" s="16" t="s">
        <v>157</v>
      </c>
    </row>
    <row r="522" spans="1:3" x14ac:dyDescent="0.35">
      <c r="A522" s="15" t="s">
        <v>162</v>
      </c>
      <c r="B522" s="16"/>
      <c r="C522" s="16" t="s">
        <v>161</v>
      </c>
    </row>
    <row r="523" spans="1:3" x14ac:dyDescent="0.35">
      <c r="A523" s="15" t="s">
        <v>163</v>
      </c>
      <c r="B523" s="16"/>
      <c r="C523" s="16" t="s">
        <v>161</v>
      </c>
    </row>
    <row r="524" spans="1:3" x14ac:dyDescent="0.35">
      <c r="A524" s="15" t="s">
        <v>164</v>
      </c>
      <c r="B524" s="16"/>
      <c r="C524" s="16" t="s">
        <v>161</v>
      </c>
    </row>
    <row r="525" spans="1:3" x14ac:dyDescent="0.35">
      <c r="A525" s="15" t="s">
        <v>79</v>
      </c>
      <c r="B525" s="16"/>
      <c r="C525" s="16" t="s">
        <v>78</v>
      </c>
    </row>
    <row r="526" spans="1:3" x14ac:dyDescent="0.35">
      <c r="A526" s="15" t="s">
        <v>80</v>
      </c>
      <c r="B526" s="16"/>
      <c r="C526" s="16" t="s">
        <v>78</v>
      </c>
    </row>
    <row r="527" spans="1:3" x14ac:dyDescent="0.35">
      <c r="A527" s="15" t="s">
        <v>81</v>
      </c>
      <c r="B527" s="16"/>
      <c r="C527" s="16" t="s">
        <v>78</v>
      </c>
    </row>
    <row r="528" spans="1:3" x14ac:dyDescent="0.35">
      <c r="A528" s="15" t="s">
        <v>83</v>
      </c>
      <c r="B528" s="16"/>
      <c r="C528" s="16" t="s">
        <v>82</v>
      </c>
    </row>
    <row r="529" spans="1:3" x14ac:dyDescent="0.35">
      <c r="A529" s="15" t="s">
        <v>84</v>
      </c>
      <c r="B529" s="16"/>
      <c r="C529" s="16" t="s">
        <v>82</v>
      </c>
    </row>
    <row r="530" spans="1:3" x14ac:dyDescent="0.35">
      <c r="A530" s="15" t="s">
        <v>85</v>
      </c>
      <c r="B530" s="16"/>
      <c r="C530" s="16" t="s">
        <v>82</v>
      </c>
    </row>
    <row r="531" spans="1:3" x14ac:dyDescent="0.35">
      <c r="A531" s="15" t="s">
        <v>87</v>
      </c>
      <c r="B531" s="16"/>
      <c r="C531" s="16" t="s">
        <v>86</v>
      </c>
    </row>
    <row r="532" spans="1:3" x14ac:dyDescent="0.35">
      <c r="A532" s="15" t="s">
        <v>88</v>
      </c>
      <c r="B532" s="16"/>
      <c r="C532" s="16" t="s">
        <v>86</v>
      </c>
    </row>
    <row r="533" spans="1:3" x14ac:dyDescent="0.35">
      <c r="A533" s="15" t="s">
        <v>89</v>
      </c>
      <c r="B533" s="16"/>
      <c r="C533" s="16" t="s">
        <v>86</v>
      </c>
    </row>
    <row r="534" spans="1:3" x14ac:dyDescent="0.35">
      <c r="A534" s="15" t="s">
        <v>91</v>
      </c>
      <c r="B534" s="16"/>
      <c r="C534" s="16" t="s">
        <v>90</v>
      </c>
    </row>
    <row r="535" spans="1:3" x14ac:dyDescent="0.35">
      <c r="A535" s="15" t="s">
        <v>92</v>
      </c>
      <c r="B535" s="16"/>
      <c r="C535" s="16" t="s">
        <v>90</v>
      </c>
    </row>
    <row r="536" spans="1:3" x14ac:dyDescent="0.35">
      <c r="A536" s="15" t="s">
        <v>93</v>
      </c>
      <c r="B536" s="16"/>
      <c r="C536" s="16" t="s">
        <v>90</v>
      </c>
    </row>
    <row r="537" spans="1:3" x14ac:dyDescent="0.35">
      <c r="A537" s="15" t="s">
        <v>167</v>
      </c>
      <c r="B537" s="16"/>
      <c r="C537" s="16" t="s">
        <v>166</v>
      </c>
    </row>
    <row r="538" spans="1:3" x14ac:dyDescent="0.35">
      <c r="A538" s="15" t="s">
        <v>168</v>
      </c>
      <c r="B538" s="16"/>
      <c r="C538" s="16" t="s">
        <v>166</v>
      </c>
    </row>
    <row r="539" spans="1:3" x14ac:dyDescent="0.35">
      <c r="A539" s="15" t="s">
        <v>169</v>
      </c>
      <c r="B539" s="16"/>
      <c r="C539" s="16" t="s">
        <v>166</v>
      </c>
    </row>
    <row r="540" spans="1:3" x14ac:dyDescent="0.35">
      <c r="A540" s="15" t="s">
        <v>171</v>
      </c>
      <c r="B540" s="16"/>
      <c r="C540" s="16" t="s">
        <v>170</v>
      </c>
    </row>
    <row r="541" spans="1:3" x14ac:dyDescent="0.35">
      <c r="A541" s="15" t="s">
        <v>172</v>
      </c>
      <c r="B541" s="16"/>
      <c r="C541" s="16" t="s">
        <v>170</v>
      </c>
    </row>
    <row r="542" spans="1:3" x14ac:dyDescent="0.35">
      <c r="A542" s="15" t="s">
        <v>173</v>
      </c>
      <c r="B542" s="16"/>
      <c r="C542" s="16" t="s">
        <v>170</v>
      </c>
    </row>
    <row r="543" spans="1:3" x14ac:dyDescent="0.35">
      <c r="A543" s="15" t="s">
        <v>175</v>
      </c>
      <c r="B543" s="16"/>
      <c r="C543" s="16" t="s">
        <v>174</v>
      </c>
    </row>
    <row r="544" spans="1:3" x14ac:dyDescent="0.35">
      <c r="A544" s="15" t="s">
        <v>176</v>
      </c>
      <c r="B544" s="16"/>
      <c r="C544" s="16" t="s">
        <v>174</v>
      </c>
    </row>
    <row r="545" spans="1:3" x14ac:dyDescent="0.35">
      <c r="A545" s="15" t="s">
        <v>177</v>
      </c>
      <c r="B545" s="16"/>
      <c r="C545" s="16" t="s">
        <v>174</v>
      </c>
    </row>
    <row r="546" spans="1:3" x14ac:dyDescent="0.35">
      <c r="A546" s="15" t="s">
        <v>179</v>
      </c>
      <c r="B546" s="16"/>
      <c r="C546" s="16" t="s">
        <v>178</v>
      </c>
    </row>
    <row r="547" spans="1:3" x14ac:dyDescent="0.35">
      <c r="A547" s="15" t="s">
        <v>180</v>
      </c>
      <c r="B547" s="16"/>
      <c r="C547" s="16" t="s">
        <v>178</v>
      </c>
    </row>
    <row r="548" spans="1:3" x14ac:dyDescent="0.35">
      <c r="A548" s="15" t="s">
        <v>181</v>
      </c>
      <c r="B548" s="16"/>
      <c r="C548" s="16" t="s">
        <v>178</v>
      </c>
    </row>
    <row r="549" spans="1:3" x14ac:dyDescent="0.35">
      <c r="A549" s="15" t="s">
        <v>183</v>
      </c>
      <c r="B549" s="16"/>
      <c r="C549" s="16" t="s">
        <v>182</v>
      </c>
    </row>
    <row r="550" spans="1:3" x14ac:dyDescent="0.35">
      <c r="A550" s="15" t="s">
        <v>184</v>
      </c>
      <c r="B550" s="16"/>
      <c r="C550" s="16" t="s">
        <v>182</v>
      </c>
    </row>
    <row r="551" spans="1:3" x14ac:dyDescent="0.35">
      <c r="A551" s="15" t="s">
        <v>185</v>
      </c>
      <c r="B551" s="16"/>
      <c r="C551" s="16" t="s">
        <v>182</v>
      </c>
    </row>
    <row r="552" spans="1:3" x14ac:dyDescent="0.35">
      <c r="A552" s="15" t="s">
        <v>187</v>
      </c>
      <c r="B552" s="16"/>
      <c r="C552" s="16" t="s">
        <v>186</v>
      </c>
    </row>
    <row r="553" spans="1:3" x14ac:dyDescent="0.35">
      <c r="A553" s="15" t="s">
        <v>188</v>
      </c>
      <c r="B553" s="16"/>
      <c r="C553" s="16" t="s">
        <v>186</v>
      </c>
    </row>
    <row r="554" spans="1:3" x14ac:dyDescent="0.35">
      <c r="A554" s="15" t="s">
        <v>189</v>
      </c>
      <c r="B554" s="16"/>
      <c r="C554" s="16" t="s">
        <v>186</v>
      </c>
    </row>
    <row r="555" spans="1:3" x14ac:dyDescent="0.35">
      <c r="A555" s="15" t="s">
        <v>191</v>
      </c>
      <c r="B555" s="16"/>
      <c r="C555" s="16" t="s">
        <v>190</v>
      </c>
    </row>
    <row r="556" spans="1:3" x14ac:dyDescent="0.35">
      <c r="A556" s="15" t="s">
        <v>192</v>
      </c>
      <c r="B556" s="16"/>
      <c r="C556" s="16" t="s">
        <v>190</v>
      </c>
    </row>
    <row r="557" spans="1:3" x14ac:dyDescent="0.35">
      <c r="A557" s="15" t="s">
        <v>193</v>
      </c>
      <c r="B557" s="16"/>
      <c r="C557" s="16" t="s">
        <v>190</v>
      </c>
    </row>
    <row r="558" spans="1:3" x14ac:dyDescent="0.35">
      <c r="A558" s="15" t="s">
        <v>195</v>
      </c>
      <c r="B558" s="16"/>
      <c r="C558" s="16" t="s">
        <v>194</v>
      </c>
    </row>
    <row r="559" spans="1:3" x14ac:dyDescent="0.35">
      <c r="A559" s="15" t="s">
        <v>196</v>
      </c>
      <c r="B559" s="16"/>
      <c r="C559" s="16" t="s">
        <v>194</v>
      </c>
    </row>
    <row r="560" spans="1:3" x14ac:dyDescent="0.35">
      <c r="A560" s="15" t="s">
        <v>197</v>
      </c>
      <c r="B560" s="16"/>
      <c r="C560" s="16" t="s">
        <v>194</v>
      </c>
    </row>
    <row r="561" spans="1:3" x14ac:dyDescent="0.35">
      <c r="A561" s="15" t="s">
        <v>235</v>
      </c>
      <c r="B561" s="16"/>
      <c r="C561" s="16" t="s">
        <v>94</v>
      </c>
    </row>
    <row r="562" spans="1:3" x14ac:dyDescent="0.35">
      <c r="A562" s="15" t="s">
        <v>236</v>
      </c>
      <c r="B562" s="16"/>
      <c r="C562" s="16" t="s">
        <v>94</v>
      </c>
    </row>
    <row r="563" spans="1:3" x14ac:dyDescent="0.35">
      <c r="A563" s="15" t="s">
        <v>237</v>
      </c>
      <c r="B563" s="16"/>
      <c r="C563" s="16" t="s">
        <v>94</v>
      </c>
    </row>
    <row r="564" spans="1:3" x14ac:dyDescent="0.35">
      <c r="A564" s="15" t="s">
        <v>238</v>
      </c>
      <c r="B564" s="16"/>
      <c r="C564" s="16" t="s">
        <v>95</v>
      </c>
    </row>
    <row r="565" spans="1:3" x14ac:dyDescent="0.35">
      <c r="A565" s="15" t="s">
        <v>239</v>
      </c>
      <c r="B565" s="16"/>
      <c r="C565" s="16" t="s">
        <v>95</v>
      </c>
    </row>
    <row r="566" spans="1:3" x14ac:dyDescent="0.35">
      <c r="A566" s="15" t="s">
        <v>96</v>
      </c>
      <c r="B566" s="16"/>
      <c r="C566" s="16" t="s">
        <v>95</v>
      </c>
    </row>
    <row r="567" spans="1:3" x14ac:dyDescent="0.35">
      <c r="A567" s="15" t="s">
        <v>199</v>
      </c>
      <c r="B567" s="16"/>
      <c r="C567" s="16" t="s">
        <v>198</v>
      </c>
    </row>
    <row r="568" spans="1:3" x14ac:dyDescent="0.35">
      <c r="A568" s="15" t="s">
        <v>200</v>
      </c>
      <c r="B568" s="16"/>
      <c r="C568" s="16" t="s">
        <v>198</v>
      </c>
    </row>
    <row r="569" spans="1:3" x14ac:dyDescent="0.35">
      <c r="A569" s="15" t="s">
        <v>201</v>
      </c>
      <c r="B569" s="16"/>
      <c r="C569" s="16" t="s">
        <v>198</v>
      </c>
    </row>
    <row r="570" spans="1:3" x14ac:dyDescent="0.35">
      <c r="A570" s="15" t="s">
        <v>240</v>
      </c>
      <c r="B570" s="16"/>
      <c r="C570" s="16" t="s">
        <v>97</v>
      </c>
    </row>
    <row r="571" spans="1:3" x14ac:dyDescent="0.35">
      <c r="A571" s="15" t="s">
        <v>241</v>
      </c>
      <c r="B571" s="16"/>
      <c r="C571" s="16" t="s">
        <v>97</v>
      </c>
    </row>
    <row r="572" spans="1:3" x14ac:dyDescent="0.35">
      <c r="A572" s="15" t="s">
        <v>99</v>
      </c>
      <c r="B572" s="16" t="s">
        <v>100</v>
      </c>
      <c r="C572" s="16" t="s">
        <v>98</v>
      </c>
    </row>
    <row r="573" spans="1:3" x14ac:dyDescent="0.35">
      <c r="A573" s="15" t="s">
        <v>101</v>
      </c>
      <c r="B573" s="16" t="s">
        <v>102</v>
      </c>
      <c r="C573" s="16" t="s">
        <v>98</v>
      </c>
    </row>
    <row r="574" spans="1:3" x14ac:dyDescent="0.35">
      <c r="A574" s="15" t="s">
        <v>103</v>
      </c>
      <c r="B574" s="16" t="s">
        <v>104</v>
      </c>
      <c r="C574" s="16" t="s">
        <v>98</v>
      </c>
    </row>
    <row r="575" spans="1:3" x14ac:dyDescent="0.35">
      <c r="A575" s="15" t="s">
        <v>105</v>
      </c>
      <c r="B575" s="16" t="s">
        <v>106</v>
      </c>
      <c r="C575" s="16" t="s">
        <v>98</v>
      </c>
    </row>
    <row r="576" spans="1:3" x14ac:dyDescent="0.35">
      <c r="A576" s="15" t="s">
        <v>107</v>
      </c>
      <c r="B576" s="16" t="s">
        <v>108</v>
      </c>
      <c r="C576" s="16" t="s">
        <v>98</v>
      </c>
    </row>
    <row r="577" spans="1:3" x14ac:dyDescent="0.35">
      <c r="A577" s="15" t="s">
        <v>109</v>
      </c>
      <c r="B577" s="16" t="s">
        <v>110</v>
      </c>
      <c r="C577" s="16" t="s">
        <v>98</v>
      </c>
    </row>
    <row r="578" spans="1:3" x14ac:dyDescent="0.35">
      <c r="A578" s="15" t="s">
        <v>111</v>
      </c>
      <c r="B578" s="16" t="s">
        <v>112</v>
      </c>
      <c r="C578" s="16" t="s">
        <v>98</v>
      </c>
    </row>
    <row r="579" spans="1:3" x14ac:dyDescent="0.35">
      <c r="A579" s="15" t="s">
        <v>113</v>
      </c>
      <c r="B579" s="16" t="s">
        <v>114</v>
      </c>
      <c r="C579" s="16" t="s">
        <v>98</v>
      </c>
    </row>
    <row r="580" spans="1:3" x14ac:dyDescent="0.35">
      <c r="A580" s="15" t="s">
        <v>115</v>
      </c>
      <c r="B580" s="16" t="s">
        <v>116</v>
      </c>
      <c r="C580" s="16" t="s">
        <v>98</v>
      </c>
    </row>
    <row r="581" spans="1:3" x14ac:dyDescent="0.35">
      <c r="A581" s="15" t="s">
        <v>117</v>
      </c>
      <c r="B581" s="16" t="s">
        <v>118</v>
      </c>
      <c r="C581" s="16" t="s">
        <v>98</v>
      </c>
    </row>
    <row r="582" spans="1:3" x14ac:dyDescent="0.35">
      <c r="A582" s="15" t="s">
        <v>119</v>
      </c>
      <c r="B582" s="16" t="s">
        <v>120</v>
      </c>
      <c r="C582" s="16" t="s">
        <v>98</v>
      </c>
    </row>
    <row r="583" spans="1:3" x14ac:dyDescent="0.35">
      <c r="A583" s="15" t="s">
        <v>121</v>
      </c>
      <c r="B583" s="16" t="s">
        <v>122</v>
      </c>
      <c r="C583" s="16" t="s">
        <v>98</v>
      </c>
    </row>
    <row r="584" spans="1:3" x14ac:dyDescent="0.35">
      <c r="A584" s="15" t="s">
        <v>123</v>
      </c>
      <c r="B584" s="16" t="s">
        <v>124</v>
      </c>
      <c r="C584" s="16" t="s">
        <v>98</v>
      </c>
    </row>
    <row r="585" spans="1:3" x14ac:dyDescent="0.35">
      <c r="A585" s="15" t="s">
        <v>125</v>
      </c>
      <c r="B585" s="16" t="s">
        <v>126</v>
      </c>
      <c r="C585" s="16" t="s">
        <v>98</v>
      </c>
    </row>
    <row r="586" spans="1:3" x14ac:dyDescent="0.35">
      <c r="A586" s="15" t="s">
        <v>127</v>
      </c>
      <c r="B586" s="16" t="s">
        <v>128</v>
      </c>
      <c r="C586" s="16" t="s">
        <v>98</v>
      </c>
    </row>
    <row r="587" spans="1:3" x14ac:dyDescent="0.35">
      <c r="A587" s="15" t="s">
        <v>129</v>
      </c>
      <c r="B587" s="16" t="s">
        <v>130</v>
      </c>
      <c r="C587" s="16" t="s">
        <v>98</v>
      </c>
    </row>
    <row r="588" spans="1:3" x14ac:dyDescent="0.35">
      <c r="A588" s="15" t="s">
        <v>131</v>
      </c>
      <c r="B588" s="16" t="s">
        <v>132</v>
      </c>
      <c r="C588" s="16" t="s">
        <v>98</v>
      </c>
    </row>
    <row r="589" spans="1:3" x14ac:dyDescent="0.35">
      <c r="A589" s="15" t="s">
        <v>133</v>
      </c>
      <c r="B589" s="16" t="s">
        <v>134</v>
      </c>
      <c r="C589" s="16" t="s">
        <v>98</v>
      </c>
    </row>
    <row r="590" spans="1:3" x14ac:dyDescent="0.35">
      <c r="A590" s="15" t="s">
        <v>135</v>
      </c>
      <c r="B590" s="16" t="s">
        <v>243</v>
      </c>
      <c r="C590" s="16" t="s">
        <v>98</v>
      </c>
    </row>
    <row r="591" spans="1:3" x14ac:dyDescent="0.35">
      <c r="A591" s="15" t="s">
        <v>373</v>
      </c>
      <c r="B591" s="16" t="s">
        <v>562</v>
      </c>
      <c r="C591" s="16" t="s">
        <v>233</v>
      </c>
    </row>
    <row r="592" spans="1:3" x14ac:dyDescent="0.35">
      <c r="A592" s="15" t="s">
        <v>375</v>
      </c>
      <c r="B592" s="16" t="s">
        <v>473</v>
      </c>
      <c r="C592" s="16" t="s">
        <v>233</v>
      </c>
    </row>
    <row r="593" spans="1:3" x14ac:dyDescent="0.35">
      <c r="A593" s="15" t="s">
        <v>534</v>
      </c>
      <c r="B593" s="16" t="s">
        <v>473</v>
      </c>
      <c r="C593" s="16" t="s">
        <v>233</v>
      </c>
    </row>
    <row r="594" spans="1:3" x14ac:dyDescent="0.35">
      <c r="A594" s="15" t="s">
        <v>535</v>
      </c>
      <c r="B594" s="16" t="s">
        <v>473</v>
      </c>
      <c r="C594" s="16" t="s">
        <v>233</v>
      </c>
    </row>
    <row r="595" spans="1:3" x14ac:dyDescent="0.35">
      <c r="A595" s="15" t="s">
        <v>425</v>
      </c>
      <c r="B595" s="16" t="s">
        <v>474</v>
      </c>
      <c r="C595" s="16" t="s">
        <v>233</v>
      </c>
    </row>
    <row r="596" spans="1:3" x14ac:dyDescent="0.35">
      <c r="A596" s="15" t="s">
        <v>207</v>
      </c>
      <c r="B596" s="16" t="s">
        <v>208</v>
      </c>
      <c r="C596" s="16" t="s">
        <v>205</v>
      </c>
    </row>
    <row r="597" spans="1:3" x14ac:dyDescent="0.35">
      <c r="A597" s="15" t="s">
        <v>209</v>
      </c>
      <c r="B597" s="16" t="s">
        <v>210</v>
      </c>
      <c r="C597" s="16" t="s">
        <v>205</v>
      </c>
    </row>
    <row r="598" spans="1:3" x14ac:dyDescent="0.35">
      <c r="A598" s="15" t="s">
        <v>45</v>
      </c>
      <c r="B598" s="16" t="s">
        <v>279</v>
      </c>
      <c r="C598" s="16" t="s">
        <v>232</v>
      </c>
    </row>
    <row r="599" spans="1:3" x14ac:dyDescent="0.35">
      <c r="A599" s="15" t="s">
        <v>215</v>
      </c>
      <c r="B599" s="16" t="s">
        <v>216</v>
      </c>
      <c r="C599" s="16" t="s">
        <v>213</v>
      </c>
    </row>
    <row r="600" spans="1:3" x14ac:dyDescent="0.35">
      <c r="A600" s="15" t="s">
        <v>46</v>
      </c>
      <c r="B600" s="16" t="s">
        <v>282</v>
      </c>
      <c r="C600" s="16" t="s">
        <v>232</v>
      </c>
    </row>
    <row r="601" spans="1:3" x14ac:dyDescent="0.35">
      <c r="A601" s="15" t="s">
        <v>268</v>
      </c>
      <c r="B601" s="16" t="s">
        <v>269</v>
      </c>
      <c r="C601" s="16" t="s">
        <v>233</v>
      </c>
    </row>
    <row r="602" spans="1:3" x14ac:dyDescent="0.35">
      <c r="A602" s="15" t="s">
        <v>270</v>
      </c>
      <c r="B602" s="16" t="s">
        <v>271</v>
      </c>
      <c r="C602" s="16" t="s">
        <v>233</v>
      </c>
    </row>
    <row r="603" spans="1:3" x14ac:dyDescent="0.35">
      <c r="A603" s="15" t="s">
        <v>39</v>
      </c>
      <c r="B603" s="16" t="s">
        <v>266</v>
      </c>
      <c r="C603" s="16" t="s">
        <v>232</v>
      </c>
    </row>
    <row r="604" spans="1:3" x14ac:dyDescent="0.35">
      <c r="A604" s="15" t="s">
        <v>41</v>
      </c>
      <c r="B604" s="16" t="s">
        <v>269</v>
      </c>
      <c r="C604" s="16" t="s">
        <v>475</v>
      </c>
    </row>
    <row r="605" spans="1:3" x14ac:dyDescent="0.35">
      <c r="A605" s="15" t="s">
        <v>410</v>
      </c>
      <c r="B605" s="16" t="s">
        <v>476</v>
      </c>
      <c r="C605" s="16" t="s">
        <v>233</v>
      </c>
    </row>
    <row r="606" spans="1:3" x14ac:dyDescent="0.35">
      <c r="A606" s="15" t="s">
        <v>413</v>
      </c>
      <c r="B606" s="16" t="s">
        <v>477</v>
      </c>
      <c r="C606" s="16" t="s">
        <v>233</v>
      </c>
    </row>
    <row r="607" spans="1:3" x14ac:dyDescent="0.35">
      <c r="A607" s="15" t="s">
        <v>48</v>
      </c>
      <c r="B607" s="16" t="s">
        <v>286</v>
      </c>
      <c r="C607" s="16" t="s">
        <v>232</v>
      </c>
    </row>
    <row r="608" spans="1:3" x14ac:dyDescent="0.35">
      <c r="A608" s="15" t="s">
        <v>437</v>
      </c>
      <c r="B608" s="16" t="s">
        <v>478</v>
      </c>
      <c r="C608" s="16" t="s">
        <v>233</v>
      </c>
    </row>
    <row r="609" spans="1:3" x14ac:dyDescent="0.35">
      <c r="A609" s="15" t="s">
        <v>64</v>
      </c>
      <c r="B609" s="16" t="s">
        <v>338</v>
      </c>
      <c r="C609" s="16" t="s">
        <v>232</v>
      </c>
    </row>
    <row r="610" spans="1:3" x14ac:dyDescent="0.35">
      <c r="A610" s="15" t="s">
        <v>459</v>
      </c>
      <c r="B610" s="16" t="s">
        <v>460</v>
      </c>
      <c r="C610" s="16" t="s">
        <v>479</v>
      </c>
    </row>
    <row r="611" spans="1:3" x14ac:dyDescent="0.35">
      <c r="A611" s="15" t="s">
        <v>334</v>
      </c>
      <c r="B611" s="16" t="s">
        <v>480</v>
      </c>
      <c r="C611" s="16" t="s">
        <v>481</v>
      </c>
    </row>
    <row r="612" spans="1:3" x14ac:dyDescent="0.35">
      <c r="A612" s="15" t="s">
        <v>62</v>
      </c>
      <c r="B612" s="16" t="s">
        <v>482</v>
      </c>
      <c r="C612" s="16" t="s">
        <v>481</v>
      </c>
    </row>
    <row r="613" spans="1:3" x14ac:dyDescent="0.35">
      <c r="A613" s="15" t="s">
        <v>471</v>
      </c>
      <c r="B613" s="16" t="s">
        <v>472</v>
      </c>
      <c r="C613" s="16" t="s">
        <v>232</v>
      </c>
    </row>
    <row r="614" spans="1:3" x14ac:dyDescent="0.35">
      <c r="A614" s="15" t="s">
        <v>544</v>
      </c>
      <c r="B614" s="16" t="s">
        <v>545</v>
      </c>
      <c r="C614" s="16" t="s">
        <v>233</v>
      </c>
    </row>
    <row r="615" spans="1:3" x14ac:dyDescent="0.35">
      <c r="A615" s="15" t="s">
        <v>456</v>
      </c>
      <c r="B615" s="16" t="s">
        <v>483</v>
      </c>
      <c r="C615" s="16" t="s">
        <v>484</v>
      </c>
    </row>
    <row r="616" spans="1:3" x14ac:dyDescent="0.35">
      <c r="A616" s="15" t="s">
        <v>550</v>
      </c>
      <c r="B616" s="16" t="s">
        <v>552</v>
      </c>
      <c r="C616" s="16" t="s">
        <v>233</v>
      </c>
    </row>
    <row r="617" spans="1:3" x14ac:dyDescent="0.35">
      <c r="A617" s="15" t="s">
        <v>551</v>
      </c>
      <c r="B617" s="16" t="s">
        <v>553</v>
      </c>
      <c r="C617" s="16" t="s">
        <v>233</v>
      </c>
    </row>
    <row r="618" spans="1:3" x14ac:dyDescent="0.35">
      <c r="A618" s="15" t="s">
        <v>546</v>
      </c>
      <c r="B618" s="16" t="s">
        <v>547</v>
      </c>
      <c r="C618" s="16" t="s">
        <v>233</v>
      </c>
    </row>
    <row r="619" spans="1:3" x14ac:dyDescent="0.35">
      <c r="A619" s="15" t="s">
        <v>422</v>
      </c>
      <c r="B619" s="16" t="s">
        <v>485</v>
      </c>
      <c r="C619" s="16" t="s">
        <v>233</v>
      </c>
    </row>
    <row r="620" spans="1:3" x14ac:dyDescent="0.35">
      <c r="A620" s="15" t="s">
        <v>43</v>
      </c>
      <c r="B620" s="16" t="s">
        <v>277</v>
      </c>
      <c r="C620" s="16" t="s">
        <v>232</v>
      </c>
    </row>
    <row r="621" spans="1:3" x14ac:dyDescent="0.35">
      <c r="A621" s="15" t="s">
        <v>340</v>
      </c>
      <c r="B621" s="16" t="s">
        <v>341</v>
      </c>
      <c r="C621" s="16" t="s">
        <v>233</v>
      </c>
    </row>
    <row r="622" spans="1:3" x14ac:dyDescent="0.35">
      <c r="A622" s="15" t="s">
        <v>342</v>
      </c>
      <c r="B622" s="16" t="s">
        <v>343</v>
      </c>
      <c r="C622" s="16" t="s">
        <v>233</v>
      </c>
    </row>
    <row r="623" spans="1:3" x14ac:dyDescent="0.35">
      <c r="A623" s="15" t="s">
        <v>344</v>
      </c>
      <c r="B623" s="16" t="s">
        <v>345</v>
      </c>
      <c r="C623" s="16" t="s">
        <v>233</v>
      </c>
    </row>
    <row r="624" spans="1:3" x14ac:dyDescent="0.35">
      <c r="A624" s="15" t="s">
        <v>346</v>
      </c>
      <c r="B624" s="16" t="s">
        <v>347</v>
      </c>
      <c r="C624" s="16" t="s">
        <v>233</v>
      </c>
    </row>
    <row r="625" spans="1:3" x14ac:dyDescent="0.35">
      <c r="A625" s="15" t="s">
        <v>348</v>
      </c>
      <c r="B625" s="16" t="s">
        <v>349</v>
      </c>
      <c r="C625" s="16" t="s">
        <v>233</v>
      </c>
    </row>
    <row r="626" spans="1:3" x14ac:dyDescent="0.35">
      <c r="A626" s="15" t="s">
        <v>65</v>
      </c>
      <c r="B626" s="16" t="s">
        <v>352</v>
      </c>
      <c r="C626" s="16" t="s">
        <v>232</v>
      </c>
    </row>
    <row r="627" spans="1:3" x14ac:dyDescent="0.35">
      <c r="A627" s="15" t="s">
        <v>353</v>
      </c>
      <c r="B627" s="16" t="s">
        <v>354</v>
      </c>
      <c r="C627" s="16" t="s">
        <v>232</v>
      </c>
    </row>
    <row r="628" spans="1:3" x14ac:dyDescent="0.35">
      <c r="A628" s="15" t="s">
        <v>350</v>
      </c>
      <c r="B628" s="16" t="s">
        <v>351</v>
      </c>
      <c r="C628" s="16" t="s">
        <v>233</v>
      </c>
    </row>
    <row r="629" spans="1:3" x14ac:dyDescent="0.35">
      <c r="A629" s="15" t="s">
        <v>52</v>
      </c>
      <c r="B629" s="16" t="s">
        <v>486</v>
      </c>
      <c r="C629" s="16" t="s">
        <v>232</v>
      </c>
    </row>
    <row r="630" spans="1:3" x14ac:dyDescent="0.35">
      <c r="A630" s="15" t="s">
        <v>363</v>
      </c>
      <c r="B630" s="16" t="s">
        <v>364</v>
      </c>
      <c r="C630" s="16" t="s">
        <v>487</v>
      </c>
    </row>
    <row r="631" spans="1:3" x14ac:dyDescent="0.35">
      <c r="A631" s="15" t="s">
        <v>533</v>
      </c>
      <c r="B631" s="16" t="s">
        <v>540</v>
      </c>
      <c r="C631" s="16" t="s">
        <v>233</v>
      </c>
    </row>
    <row r="632" spans="1:3" x14ac:dyDescent="0.35">
      <c r="A632" s="15" t="s">
        <v>543</v>
      </c>
      <c r="B632" s="16" t="s">
        <v>541</v>
      </c>
      <c r="C632" s="16" t="s">
        <v>233</v>
      </c>
    </row>
    <row r="633" spans="1:3" x14ac:dyDescent="0.35">
      <c r="A633" s="15" t="s">
        <v>365</v>
      </c>
      <c r="B633" s="16" t="s">
        <v>364</v>
      </c>
      <c r="C633" s="16" t="s">
        <v>487</v>
      </c>
    </row>
    <row r="634" spans="1:3" x14ac:dyDescent="0.35">
      <c r="A634" s="15" t="s">
        <v>66</v>
      </c>
      <c r="B634" s="16" t="s">
        <v>488</v>
      </c>
      <c r="C634" s="16" t="s">
        <v>232</v>
      </c>
    </row>
    <row r="635" spans="1:3" x14ac:dyDescent="0.35">
      <c r="A635" s="15" t="s">
        <v>440</v>
      </c>
      <c r="B635" s="16" t="s">
        <v>441</v>
      </c>
      <c r="C635" s="16" t="s">
        <v>489</v>
      </c>
    </row>
    <row r="636" spans="1:3" x14ac:dyDescent="0.35">
      <c r="A636" s="15" t="s">
        <v>442</v>
      </c>
      <c r="B636" s="16" t="s">
        <v>443</v>
      </c>
      <c r="C636" s="16" t="s">
        <v>489</v>
      </c>
    </row>
    <row r="637" spans="1:3" x14ac:dyDescent="0.35">
      <c r="A637" s="15" t="s">
        <v>382</v>
      </c>
      <c r="B637" s="16" t="s">
        <v>383</v>
      </c>
      <c r="C637" s="16" t="s">
        <v>233</v>
      </c>
    </row>
    <row r="638" spans="1:3" x14ac:dyDescent="0.35">
      <c r="A638" s="15" t="s">
        <v>555</v>
      </c>
      <c r="B638" s="16" t="s">
        <v>383</v>
      </c>
      <c r="C638" s="16" t="s">
        <v>233</v>
      </c>
    </row>
    <row r="639" spans="1:3" x14ac:dyDescent="0.35">
      <c r="A639" s="15" t="s">
        <v>556</v>
      </c>
      <c r="B639" s="16" t="s">
        <v>383</v>
      </c>
      <c r="C639" s="16" t="s">
        <v>233</v>
      </c>
    </row>
    <row r="640" spans="1:3" x14ac:dyDescent="0.35">
      <c r="A640" s="15" t="s">
        <v>384</v>
      </c>
      <c r="B640" s="16" t="s">
        <v>573</v>
      </c>
      <c r="C640" s="16" t="s">
        <v>233</v>
      </c>
    </row>
    <row r="641" spans="1:3" x14ac:dyDescent="0.35">
      <c r="A641" s="15" t="s">
        <v>557</v>
      </c>
      <c r="B641" s="16" t="s">
        <v>573</v>
      </c>
      <c r="C641" s="16" t="s">
        <v>233</v>
      </c>
    </row>
    <row r="642" spans="1:3" x14ac:dyDescent="0.35">
      <c r="A642" s="15" t="s">
        <v>558</v>
      </c>
      <c r="B642" s="16" t="s">
        <v>573</v>
      </c>
      <c r="C642" s="16" t="s">
        <v>233</v>
      </c>
    </row>
    <row r="643" spans="1:3" x14ac:dyDescent="0.35">
      <c r="A643" s="15" t="s">
        <v>559</v>
      </c>
      <c r="B643" s="16" t="s">
        <v>574</v>
      </c>
      <c r="C643" s="16" t="s">
        <v>233</v>
      </c>
    </row>
    <row r="644" spans="1:3" x14ac:dyDescent="0.35">
      <c r="A644" s="15" t="s">
        <v>560</v>
      </c>
      <c r="B644" s="16" t="s">
        <v>574</v>
      </c>
      <c r="C644" s="16" t="s">
        <v>233</v>
      </c>
    </row>
    <row r="645" spans="1:3" x14ac:dyDescent="0.35">
      <c r="A645" s="15" t="s">
        <v>561</v>
      </c>
      <c r="B645" s="16" t="s">
        <v>574</v>
      </c>
      <c r="C645" s="16" t="s">
        <v>233</v>
      </c>
    </row>
    <row r="646" spans="1:3" x14ac:dyDescent="0.35">
      <c r="A646" s="15" t="s">
        <v>566</v>
      </c>
      <c r="B646" s="16" t="s">
        <v>549</v>
      </c>
      <c r="C646" s="16" t="s">
        <v>233</v>
      </c>
    </row>
    <row r="647" spans="1:3" x14ac:dyDescent="0.35">
      <c r="A647" s="15" t="s">
        <v>548</v>
      </c>
      <c r="B647" s="16" t="s">
        <v>549</v>
      </c>
      <c r="C647" s="16" t="s">
        <v>233</v>
      </c>
    </row>
    <row r="648" spans="1:3" x14ac:dyDescent="0.35">
      <c r="A648" s="15" t="s">
        <v>50</v>
      </c>
      <c r="B648" s="16" t="s">
        <v>288</v>
      </c>
      <c r="C648" s="16" t="s">
        <v>490</v>
      </c>
    </row>
    <row r="649" spans="1:3" x14ac:dyDescent="0.35">
      <c r="A649" s="15" t="s">
        <v>58</v>
      </c>
      <c r="B649" s="16" t="s">
        <v>491</v>
      </c>
      <c r="C649" s="16" t="s">
        <v>492</v>
      </c>
    </row>
    <row r="650" spans="1:3" x14ac:dyDescent="0.35">
      <c r="A650" s="15" t="s">
        <v>295</v>
      </c>
      <c r="B650" s="16" t="s">
        <v>296</v>
      </c>
      <c r="C650" s="16" t="s">
        <v>233</v>
      </c>
    </row>
    <row r="651" spans="1:3" x14ac:dyDescent="0.35">
      <c r="A651" s="15" t="s">
        <v>297</v>
      </c>
      <c r="B651" s="16" t="s">
        <v>298</v>
      </c>
      <c r="C651" s="16" t="s">
        <v>233</v>
      </c>
    </row>
    <row r="652" spans="1:3" x14ac:dyDescent="0.35">
      <c r="A652" s="15" t="s">
        <v>299</v>
      </c>
      <c r="B652" s="16" t="s">
        <v>300</v>
      </c>
      <c r="C652" s="16" t="s">
        <v>233</v>
      </c>
    </row>
    <row r="653" spans="1:3" x14ac:dyDescent="0.35">
      <c r="A653" s="15" t="s">
        <v>301</v>
      </c>
      <c r="B653" s="16" t="s">
        <v>302</v>
      </c>
      <c r="C653" s="16" t="s">
        <v>233</v>
      </c>
    </row>
    <row r="654" spans="1:3" x14ac:dyDescent="0.35">
      <c r="A654" s="15" t="s">
        <v>53</v>
      </c>
      <c r="B654" s="16" t="s">
        <v>493</v>
      </c>
      <c r="C654" s="16" t="s">
        <v>232</v>
      </c>
    </row>
    <row r="655" spans="1:3" x14ac:dyDescent="0.35">
      <c r="A655" s="15" t="s">
        <v>42</v>
      </c>
      <c r="B655" s="16" t="s">
        <v>273</v>
      </c>
      <c r="C655" s="16" t="s">
        <v>232</v>
      </c>
    </row>
    <row r="656" spans="1:3" x14ac:dyDescent="0.35">
      <c r="A656" s="15" t="s">
        <v>274</v>
      </c>
      <c r="B656" s="16" t="s">
        <v>494</v>
      </c>
      <c r="C656" s="16" t="s">
        <v>232</v>
      </c>
    </row>
    <row r="657" spans="1:3" x14ac:dyDescent="0.35">
      <c r="A657" s="15" t="s">
        <v>313</v>
      </c>
      <c r="B657" s="16" t="s">
        <v>495</v>
      </c>
      <c r="C657" s="16" t="s">
        <v>233</v>
      </c>
    </row>
    <row r="658" spans="1:3" x14ac:dyDescent="0.35">
      <c r="A658" s="15" t="s">
        <v>322</v>
      </c>
      <c r="B658" s="16" t="s">
        <v>496</v>
      </c>
      <c r="C658" s="16" t="s">
        <v>233</v>
      </c>
    </row>
    <row r="659" spans="1:3" x14ac:dyDescent="0.35">
      <c r="A659" s="15" t="s">
        <v>447</v>
      </c>
      <c r="B659" s="16" t="s">
        <v>497</v>
      </c>
      <c r="C659" s="16" t="s">
        <v>498</v>
      </c>
    </row>
    <row r="660" spans="1:3" x14ac:dyDescent="0.35">
      <c r="A660" s="15" t="s">
        <v>431</v>
      </c>
      <c r="B660" s="16" t="s">
        <v>432</v>
      </c>
      <c r="C660" s="16" t="s">
        <v>233</v>
      </c>
    </row>
    <row r="661" spans="1:3" x14ac:dyDescent="0.35">
      <c r="A661" s="15" t="s">
        <v>399</v>
      </c>
      <c r="B661" s="16" t="s">
        <v>400</v>
      </c>
      <c r="C661" s="16" t="s">
        <v>233</v>
      </c>
    </row>
    <row r="662" spans="1:3" x14ac:dyDescent="0.35">
      <c r="A662" s="15" t="s">
        <v>396</v>
      </c>
      <c r="B662" s="16" t="s">
        <v>397</v>
      </c>
      <c r="C662" s="16" t="s">
        <v>233</v>
      </c>
    </row>
    <row r="663" spans="1:3" x14ac:dyDescent="0.35">
      <c r="A663" s="15" t="s">
        <v>60</v>
      </c>
      <c r="B663" s="16" t="s">
        <v>499</v>
      </c>
      <c r="C663" s="16" t="s">
        <v>232</v>
      </c>
    </row>
    <row r="664" spans="1:3" x14ac:dyDescent="0.35">
      <c r="A664" s="15" t="s">
        <v>61</v>
      </c>
      <c r="B664" s="16" t="s">
        <v>500</v>
      </c>
      <c r="C664" s="16" t="s">
        <v>232</v>
      </c>
    </row>
    <row r="665" spans="1:3" x14ac:dyDescent="0.35">
      <c r="A665" s="15" t="s">
        <v>51</v>
      </c>
      <c r="B665" s="16" t="s">
        <v>290</v>
      </c>
      <c r="C665" s="16" t="s">
        <v>232</v>
      </c>
    </row>
    <row r="666" spans="1:3" x14ac:dyDescent="0.35">
      <c r="A666" s="15" t="s">
        <v>54</v>
      </c>
      <c r="B666" s="16" t="s">
        <v>291</v>
      </c>
      <c r="C666" s="16" t="s">
        <v>232</v>
      </c>
    </row>
    <row r="667" spans="1:3" x14ac:dyDescent="0.35">
      <c r="A667" s="15" t="s">
        <v>55</v>
      </c>
      <c r="B667" s="16" t="s">
        <v>501</v>
      </c>
      <c r="C667" s="16" t="s">
        <v>232</v>
      </c>
    </row>
    <row r="668" spans="1:3" x14ac:dyDescent="0.35">
      <c r="A668" s="15" t="s">
        <v>462</v>
      </c>
      <c r="B668" s="16" t="s">
        <v>502</v>
      </c>
      <c r="C668" s="16" t="s">
        <v>503</v>
      </c>
    </row>
    <row r="669" spans="1:3" x14ac:dyDescent="0.35">
      <c r="A669" s="15" t="s">
        <v>407</v>
      </c>
      <c r="B669" s="16" t="s">
        <v>408</v>
      </c>
      <c r="C669" s="16" t="s">
        <v>233</v>
      </c>
    </row>
    <row r="670" spans="1:3" x14ac:dyDescent="0.35">
      <c r="A670" s="15" t="s">
        <v>554</v>
      </c>
      <c r="B670" s="16" t="s">
        <v>567</v>
      </c>
      <c r="C670" s="16" t="s">
        <v>233</v>
      </c>
    </row>
    <row r="671" spans="1:3" x14ac:dyDescent="0.35">
      <c r="A671" s="15" t="s">
        <v>434</v>
      </c>
      <c r="B671" s="16" t="s">
        <v>504</v>
      </c>
      <c r="C671" s="16" t="s">
        <v>233</v>
      </c>
    </row>
    <row r="672" spans="1:3" x14ac:dyDescent="0.35">
      <c r="A672" s="15" t="s">
        <v>468</v>
      </c>
      <c r="B672" s="16" t="s">
        <v>469</v>
      </c>
      <c r="C672" s="16" t="s">
        <v>233</v>
      </c>
    </row>
    <row r="673" spans="1:3" x14ac:dyDescent="0.35">
      <c r="A673" s="15" t="s">
        <v>419</v>
      </c>
      <c r="B673" s="16" t="s">
        <v>505</v>
      </c>
      <c r="C673" s="16" t="s">
        <v>233</v>
      </c>
    </row>
    <row r="674" spans="1:3" x14ac:dyDescent="0.35">
      <c r="A674" s="15" t="s">
        <v>47</v>
      </c>
      <c r="B674" s="16" t="s">
        <v>284</v>
      </c>
      <c r="C674" s="16" t="s">
        <v>232</v>
      </c>
    </row>
    <row r="675" spans="1:3" x14ac:dyDescent="0.35">
      <c r="A675" s="15" t="s">
        <v>465</v>
      </c>
      <c r="B675" s="16" t="s">
        <v>466</v>
      </c>
      <c r="C675" s="16" t="s">
        <v>233</v>
      </c>
    </row>
    <row r="676" spans="1:3" x14ac:dyDescent="0.35">
      <c r="A676" s="15" t="s">
        <v>68</v>
      </c>
      <c r="B676" s="16" t="s">
        <v>506</v>
      </c>
      <c r="C676" s="16" t="s">
        <v>232</v>
      </c>
    </row>
    <row r="677" spans="1:3" x14ac:dyDescent="0.35">
      <c r="A677" s="15" t="s">
        <v>358</v>
      </c>
      <c r="B677" s="16" t="s">
        <v>507</v>
      </c>
      <c r="C677" s="16" t="s">
        <v>508</v>
      </c>
    </row>
    <row r="678" spans="1:3" x14ac:dyDescent="0.35">
      <c r="A678" s="15" t="s">
        <v>386</v>
      </c>
      <c r="B678" s="16" t="s">
        <v>509</v>
      </c>
      <c r="C678" s="16" t="s">
        <v>233</v>
      </c>
    </row>
    <row r="679" spans="1:3" x14ac:dyDescent="0.35">
      <c r="A679" s="15" t="s">
        <v>388</v>
      </c>
      <c r="B679" s="16" t="s">
        <v>510</v>
      </c>
      <c r="C679" s="16" t="s">
        <v>233</v>
      </c>
    </row>
    <row r="680" spans="1:3" x14ac:dyDescent="0.35">
      <c r="A680" s="15" t="s">
        <v>564</v>
      </c>
      <c r="B680" s="16" t="s">
        <v>565</v>
      </c>
      <c r="C680" s="16" t="s">
        <v>233</v>
      </c>
    </row>
    <row r="681" spans="1:3" x14ac:dyDescent="0.35">
      <c r="A681" s="15" t="s">
        <v>453</v>
      </c>
      <c r="B681" s="16" t="s">
        <v>511</v>
      </c>
      <c r="C681" s="16" t="s">
        <v>512</v>
      </c>
    </row>
    <row r="682" spans="1:3" x14ac:dyDescent="0.35">
      <c r="A682" s="15" t="s">
        <v>444</v>
      </c>
      <c r="B682" s="16" t="s">
        <v>445</v>
      </c>
      <c r="C682" s="16" t="s">
        <v>489</v>
      </c>
    </row>
    <row r="683" spans="1:3" x14ac:dyDescent="0.35">
      <c r="A683" s="15" t="s">
        <v>59</v>
      </c>
      <c r="B683" s="16" t="s">
        <v>280</v>
      </c>
      <c r="C683" s="16" t="s">
        <v>232</v>
      </c>
    </row>
    <row r="684" spans="1:3" x14ac:dyDescent="0.35">
      <c r="A684" s="15" t="s">
        <v>368</v>
      </c>
      <c r="B684" s="16" t="s">
        <v>513</v>
      </c>
      <c r="C684" s="16" t="s">
        <v>233</v>
      </c>
    </row>
    <row r="685" spans="1:3" x14ac:dyDescent="0.35">
      <c r="A685" s="15" t="s">
        <v>370</v>
      </c>
      <c r="B685" s="16" t="s">
        <v>514</v>
      </c>
      <c r="C685" s="16" t="s">
        <v>233</v>
      </c>
    </row>
    <row r="686" spans="1:3" x14ac:dyDescent="0.35">
      <c r="A686" s="15" t="s">
        <v>450</v>
      </c>
      <c r="B686" s="16" t="s">
        <v>515</v>
      </c>
      <c r="C686" s="16" t="s">
        <v>516</v>
      </c>
    </row>
    <row r="687" spans="1:3" x14ac:dyDescent="0.35">
      <c r="A687" s="15" t="s">
        <v>402</v>
      </c>
      <c r="B687" s="16" t="s">
        <v>517</v>
      </c>
      <c r="C687" s="16" t="s">
        <v>233</v>
      </c>
    </row>
    <row r="688" spans="1:3" x14ac:dyDescent="0.35">
      <c r="A688" s="15" t="s">
        <v>404</v>
      </c>
      <c r="B688" s="16" t="s">
        <v>518</v>
      </c>
      <c r="C688" s="16" t="s">
        <v>233</v>
      </c>
    </row>
    <row r="689" spans="1:3" x14ac:dyDescent="0.35">
      <c r="A689" s="15" t="s">
        <v>310</v>
      </c>
      <c r="B689" s="16" t="s">
        <v>519</v>
      </c>
      <c r="C689" s="16" t="s">
        <v>233</v>
      </c>
    </row>
    <row r="690" spans="1:3" x14ac:dyDescent="0.35">
      <c r="A690" s="15" t="s">
        <v>416</v>
      </c>
      <c r="B690" s="16" t="s">
        <v>417</v>
      </c>
      <c r="C690" s="16" t="s">
        <v>233</v>
      </c>
    </row>
    <row r="691" spans="1:3" x14ac:dyDescent="0.35">
      <c r="A691" s="15" t="s">
        <v>377</v>
      </c>
      <c r="B691" s="16" t="s">
        <v>521</v>
      </c>
      <c r="C691" s="16" t="s">
        <v>233</v>
      </c>
    </row>
    <row r="692" spans="1:3" x14ac:dyDescent="0.35">
      <c r="A692" s="15" t="s">
        <v>536</v>
      </c>
      <c r="B692" s="16" t="s">
        <v>521</v>
      </c>
      <c r="C692" s="16" t="s">
        <v>233</v>
      </c>
    </row>
    <row r="693" spans="1:3" x14ac:dyDescent="0.35">
      <c r="A693" s="15" t="s">
        <v>537</v>
      </c>
      <c r="B693" s="16" t="s">
        <v>521</v>
      </c>
      <c r="C693" s="16" t="s">
        <v>233</v>
      </c>
    </row>
    <row r="694" spans="1:3" x14ac:dyDescent="0.35">
      <c r="A694" s="15" t="s">
        <v>379</v>
      </c>
      <c r="B694" s="16" t="s">
        <v>520</v>
      </c>
      <c r="C694" s="16" t="s">
        <v>233</v>
      </c>
    </row>
    <row r="695" spans="1:3" x14ac:dyDescent="0.35">
      <c r="A695" s="15" t="s">
        <v>538</v>
      </c>
      <c r="B695" s="16" t="s">
        <v>520</v>
      </c>
      <c r="C695" s="16" t="s">
        <v>233</v>
      </c>
    </row>
    <row r="696" spans="1:3" x14ac:dyDescent="0.35">
      <c r="A696" s="15" t="s">
        <v>539</v>
      </c>
      <c r="B696" s="16" t="s">
        <v>520</v>
      </c>
      <c r="C696" s="16" t="s">
        <v>233</v>
      </c>
    </row>
    <row r="697" spans="1:3" x14ac:dyDescent="0.35">
      <c r="A697" s="15" t="s">
        <v>307</v>
      </c>
      <c r="B697" s="16" t="s">
        <v>308</v>
      </c>
      <c r="C697" s="16" t="s">
        <v>233</v>
      </c>
    </row>
    <row r="698" spans="1:3" x14ac:dyDescent="0.35">
      <c r="A698" s="15" t="s">
        <v>391</v>
      </c>
      <c r="B698" s="16" t="s">
        <v>392</v>
      </c>
      <c r="C698" s="16" t="s">
        <v>233</v>
      </c>
    </row>
    <row r="699" spans="1:3" x14ac:dyDescent="0.35">
      <c r="A699" s="15" t="s">
        <v>393</v>
      </c>
      <c r="B699" s="16" t="s">
        <v>522</v>
      </c>
      <c r="C699" s="16" t="s">
        <v>233</v>
      </c>
    </row>
    <row r="700" spans="1:3" x14ac:dyDescent="0.35">
      <c r="A700" s="15" t="s">
        <v>319</v>
      </c>
      <c r="B700" s="16" t="s">
        <v>320</v>
      </c>
      <c r="C700" s="16" t="s">
        <v>233</v>
      </c>
    </row>
    <row r="701" spans="1:3" x14ac:dyDescent="0.35">
      <c r="A701" s="15" t="s">
        <v>428</v>
      </c>
      <c r="B701" s="16" t="s">
        <v>523</v>
      </c>
      <c r="C701" s="16" t="s">
        <v>233</v>
      </c>
    </row>
    <row r="702" spans="1:3" x14ac:dyDescent="0.35">
      <c r="A702" s="15" t="s">
        <v>325</v>
      </c>
      <c r="B702" s="16" t="s">
        <v>524</v>
      </c>
      <c r="C702" s="16" t="s">
        <v>525</v>
      </c>
    </row>
    <row r="703" spans="1:3" x14ac:dyDescent="0.35">
      <c r="A703" s="15" t="s">
        <v>316</v>
      </c>
      <c r="B703" s="16" t="s">
        <v>526</v>
      </c>
      <c r="C703" s="16" t="s">
        <v>233</v>
      </c>
    </row>
  </sheetData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Help</vt:lpstr>
      <vt:lpstr>Database</vt:lpstr>
      <vt:lpstr>(NOT IN USE)Interior Index</vt:lpstr>
      <vt:lpstr>(NOT IN USE)Exterior Index</vt:lpstr>
      <vt:lpstr>(NOT IN USE)Settings</vt:lpstr>
      <vt:lpstr>Keynote Export</vt:lpstr>
      <vt:lpstr>Database!Print_Area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Chi</dc:creator>
  <cp:lastModifiedBy>Zhang, Sen</cp:lastModifiedBy>
  <cp:lastPrinted>2024-01-29T21:36:42Z</cp:lastPrinted>
  <dcterms:created xsi:type="dcterms:W3CDTF">2021-07-22T19:59:37Z</dcterms:created>
  <dcterms:modified xsi:type="dcterms:W3CDTF">2025-10-01T22:10:55Z</dcterms:modified>
</cp:coreProperties>
</file>